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70" yWindow="540" windowWidth="18615" windowHeight="9915"/>
  </bookViews>
  <sheets>
    <sheet name="ENERO 2026" sheetId="1" r:id="rId1"/>
    <sheet name="Hoja 5" sheetId="2" r:id="rId2"/>
    <sheet name="APROB DOC" sheetId="3" r:id="rId3"/>
    <sheet name="HV" sheetId="4" r:id="rId4"/>
  </sheets>
  <definedNames>
    <definedName name="_xlnm._FilterDatabase" localSheetId="2" hidden="1">'APROB DOC'!$A$1:$D$78</definedName>
    <definedName name="_xlnm._FilterDatabase" localSheetId="3" hidden="1">HV!$B$1:$B$1000</definedName>
  </definedNames>
  <calcPr calcId="145621"/>
  <extLst>
    <ext uri="GoogleSheetsCustomDataVersion2">
      <go:sheetsCustomData xmlns:go="http://customooxmlschemas.google.com/" r:id="rId8" roundtripDataChecksum="9OQo4/oyshSubDK/Yr3lOM11mO9XPnV3cXnDU2suVwQ="/>
    </ext>
  </extLst>
</workbook>
</file>

<file path=xl/calcChain.xml><?xml version="1.0" encoding="utf-8"?>
<calcChain xmlns="http://schemas.openxmlformats.org/spreadsheetml/2006/main">
  <c r="C43" i="2" l="1"/>
  <c r="D41" i="2"/>
  <c r="D42" i="2" s="1"/>
  <c r="C41" i="2"/>
  <c r="J21" i="2"/>
  <c r="I21" i="2"/>
  <c r="H21" i="2"/>
  <c r="F21" i="2"/>
  <c r="F22" i="2" s="1"/>
  <c r="E21" i="2"/>
  <c r="D21" i="2"/>
  <c r="BM83" i="1"/>
  <c r="AY83" i="1" s="1"/>
  <c r="CM82" i="1"/>
  <c r="BM82" i="1"/>
  <c r="AY82" i="1" s="1"/>
  <c r="BM81" i="1"/>
  <c r="AY81" i="1" s="1"/>
  <c r="BL80" i="1"/>
  <c r="BM80" i="1" s="1"/>
  <c r="BA80" i="1"/>
  <c r="BC80" i="1" s="1"/>
  <c r="CM78" i="1"/>
  <c r="BM78" i="1"/>
  <c r="AY78" i="1" s="1"/>
  <c r="CM77" i="1"/>
  <c r="AY77" i="1"/>
  <c r="CM76" i="1"/>
  <c r="AY76" i="1"/>
  <c r="AY75" i="1"/>
  <c r="CM74" i="1"/>
  <c r="AY74" i="1"/>
  <c r="CM73" i="1"/>
  <c r="AY73" i="1"/>
  <c r="CM72" i="1"/>
  <c r="AY72" i="1"/>
  <c r="AY71" i="1"/>
  <c r="AY70" i="1"/>
  <c r="AY69" i="1"/>
  <c r="AY68" i="1"/>
  <c r="AY67" i="1"/>
  <c r="AY66" i="1"/>
  <c r="CM65" i="1"/>
  <c r="AY65" i="1"/>
  <c r="AY64" i="1"/>
  <c r="AY63" i="1"/>
  <c r="CM62" i="1"/>
  <c r="AY62" i="1"/>
  <c r="CM61" i="1"/>
  <c r="AY61" i="1"/>
  <c r="AY60" i="1"/>
  <c r="AY59" i="1"/>
  <c r="AY58" i="1"/>
  <c r="CM57" i="1"/>
  <c r="AY57" i="1"/>
  <c r="CM56" i="1"/>
  <c r="AY56" i="1"/>
  <c r="AY55" i="1"/>
  <c r="AY54" i="1"/>
  <c r="AY53" i="1"/>
  <c r="CM52" i="1"/>
  <c r="AY52" i="1"/>
  <c r="CM51" i="1"/>
  <c r="AY51" i="1"/>
  <c r="CM50" i="1"/>
  <c r="AY50" i="1"/>
  <c r="AY49" i="1"/>
  <c r="CM48" i="1"/>
  <c r="AY48" i="1"/>
  <c r="CM47" i="1"/>
  <c r="AY47" i="1"/>
  <c r="CM46" i="1"/>
  <c r="AY46" i="1"/>
  <c r="CM45" i="1"/>
  <c r="AY45" i="1"/>
  <c r="AY44" i="1"/>
  <c r="CM43" i="1"/>
  <c r="BL43" i="1"/>
  <c r="BM43" i="1" s="1"/>
  <c r="AY43" i="1"/>
  <c r="CM42" i="1"/>
  <c r="AY42" i="1"/>
  <c r="CM41" i="1"/>
  <c r="AY41" i="1"/>
  <c r="CM40" i="1"/>
  <c r="AY40" i="1"/>
  <c r="CM39" i="1"/>
  <c r="AY39" i="1"/>
  <c r="CM38" i="1"/>
  <c r="AY38" i="1"/>
  <c r="CM37" i="1"/>
  <c r="AY37" i="1"/>
  <c r="CM36" i="1"/>
  <c r="AY36" i="1"/>
  <c r="CM35" i="1"/>
  <c r="AY35" i="1"/>
  <c r="AY34" i="1"/>
  <c r="AY33" i="1"/>
  <c r="CM32" i="1"/>
  <c r="AY32" i="1"/>
  <c r="AY31" i="1"/>
  <c r="AY30" i="1"/>
  <c r="AY29" i="1"/>
  <c r="CM28" i="1"/>
  <c r="AY28" i="1"/>
  <c r="CM27" i="1"/>
  <c r="AY27" i="1"/>
  <c r="CM26" i="1"/>
  <c r="AY26" i="1"/>
  <c r="CM25" i="1"/>
  <c r="AY25" i="1"/>
  <c r="CM24" i="1"/>
  <c r="AY24" i="1"/>
  <c r="CM23" i="1"/>
  <c r="AY23" i="1"/>
  <c r="CM22" i="1"/>
  <c r="AY22" i="1"/>
  <c r="CM21" i="1"/>
  <c r="AY21" i="1"/>
  <c r="AY20" i="1"/>
  <c r="CM19" i="1"/>
  <c r="AY19" i="1"/>
  <c r="CM18" i="1"/>
  <c r="BI18" i="1"/>
  <c r="BK18" i="1" s="1"/>
  <c r="AY18" i="1"/>
  <c r="CM17" i="1"/>
  <c r="AY17" i="1"/>
  <c r="CM16" i="1"/>
  <c r="AY16" i="1"/>
  <c r="CM15" i="1"/>
  <c r="AY15" i="1"/>
  <c r="CM14" i="1"/>
  <c r="AY14" i="1"/>
  <c r="CM13" i="1"/>
  <c r="AY13" i="1"/>
  <c r="CM12" i="1"/>
  <c r="AY12" i="1"/>
  <c r="CM11" i="1"/>
  <c r="AY11" i="1"/>
  <c r="CM10" i="1"/>
  <c r="AY10" i="1"/>
  <c r="AY9" i="1"/>
  <c r="CM8" i="1"/>
  <c r="AY8" i="1"/>
  <c r="CM7" i="1"/>
  <c r="AY7" i="1"/>
  <c r="AY6" i="1"/>
  <c r="CM5" i="1"/>
  <c r="AY5" i="1"/>
  <c r="CM4" i="1"/>
  <c r="AY4" i="1"/>
  <c r="CM3" i="1"/>
  <c r="AY3" i="1"/>
  <c r="CM2" i="1"/>
  <c r="CB2" i="1"/>
  <c r="AY2" i="1"/>
</calcChain>
</file>

<file path=xl/sharedStrings.xml><?xml version="1.0" encoding="utf-8"?>
<sst xmlns="http://schemas.openxmlformats.org/spreadsheetml/2006/main" count="4389" uniqueCount="1226">
  <si>
    <t>Organismo</t>
  </si>
  <si>
    <t>Dirección del organismo</t>
  </si>
  <si>
    <t>Nombre del ordenador del gasto</t>
  </si>
  <si>
    <t>Cédula del ordenador del gasto</t>
  </si>
  <si>
    <t>Cargo del ordenador del gasto</t>
  </si>
  <si>
    <t>Decreto de nombramiento</t>
  </si>
  <si>
    <t>Acta de posesión</t>
  </si>
  <si>
    <t>Profesional jurídico estructurador del EP</t>
  </si>
  <si>
    <t>Cargo Profesional Jurídico estructurador EP</t>
  </si>
  <si>
    <t>Profesional técnico estructurador del EP</t>
  </si>
  <si>
    <t>Cargo Profesional Técnico estructurador EP</t>
  </si>
  <si>
    <t>Profesional financiero estructurador del EP</t>
  </si>
  <si>
    <t>Cargo Profesional Financiero estructurador EP</t>
  </si>
  <si>
    <t xml:space="preserve">Fecha de estructurador </t>
  </si>
  <si>
    <t>Fecha Idoneidad</t>
  </si>
  <si>
    <t>Nombre del proyecto y Ficha +O:TEBI (si aplica)</t>
  </si>
  <si>
    <t>Objetivo general de la Ficha EBI (si aplica)</t>
  </si>
  <si>
    <t>Encabezado actividades Ficha EBI</t>
  </si>
  <si>
    <t>Actividades de la Ficha EBI (si aplica)</t>
  </si>
  <si>
    <t>Inversión (si aplica)</t>
  </si>
  <si>
    <t>Funcionamiento (si aplica)</t>
  </si>
  <si>
    <t>Número y fecha del CDP</t>
  </si>
  <si>
    <t>Fecha del CDP</t>
  </si>
  <si>
    <t>Valor del CDP</t>
  </si>
  <si>
    <t>Fecha de vencimiento del CDP</t>
  </si>
  <si>
    <t>Apropiación presupuestal</t>
  </si>
  <si>
    <t>ID en el PAA</t>
  </si>
  <si>
    <t>Codigo
DANE</t>
  </si>
  <si>
    <t>Tipo contrato xxx</t>
  </si>
  <si>
    <t>Tipo de contrato (Profesional o de Apoyo a la Gestión)</t>
  </si>
  <si>
    <t>Nivel</t>
  </si>
  <si>
    <t>Profesional</t>
  </si>
  <si>
    <t>Apoyo a la gestión</t>
  </si>
  <si>
    <t>TRD del proceso y consecutivo</t>
  </si>
  <si>
    <t>Número de contrato</t>
  </si>
  <si>
    <t>NOMBRE DEL CONTRATISTA</t>
  </si>
  <si>
    <t>Cédula del contratista</t>
  </si>
  <si>
    <t>DV</t>
  </si>
  <si>
    <t xml:space="preserve">PERIODO </t>
  </si>
  <si>
    <t>ESTADO CONTRATO</t>
  </si>
  <si>
    <t>Formación y título académica (Básica, media, pregrado y posgrado)</t>
  </si>
  <si>
    <t>Descripcion de la formación y título académico</t>
  </si>
  <si>
    <t>Tarjeta o Matrícula Profesional (si aplica)</t>
  </si>
  <si>
    <t>Descripcion Tarjeta o Matricula</t>
  </si>
  <si>
    <t>Descripcion de experiencia</t>
  </si>
  <si>
    <t xml:space="preserve">Experiencia </t>
  </si>
  <si>
    <t>Objeto contractual</t>
  </si>
  <si>
    <t>Actividades y, si aplica, entregables</t>
  </si>
  <si>
    <t>Plazo de ejecución</t>
  </si>
  <si>
    <t>Valor total del contrato en letras</t>
  </si>
  <si>
    <t xml:space="preserve">Valor total contrato en numeros </t>
  </si>
  <si>
    <t>Valor antes de IVA en letras</t>
  </si>
  <si>
    <t>Valor antes de IVA</t>
  </si>
  <si>
    <t>Valor IVA en letras</t>
  </si>
  <si>
    <t>VALOR IVA</t>
  </si>
  <si>
    <t>Número de cuotas en letras</t>
  </si>
  <si>
    <t>Número de cuotas en número</t>
  </si>
  <si>
    <t>Valor cuota en letras</t>
  </si>
  <si>
    <t>Valor cuota en número</t>
  </si>
  <si>
    <t>Valor cuota antes de IVA en letras</t>
  </si>
  <si>
    <t>Valor cuotal antes de IVA</t>
  </si>
  <si>
    <t>Valor cuota IVA en letras</t>
  </si>
  <si>
    <t>Valor cuota IVA</t>
  </si>
  <si>
    <t>Valor media cuota en letras</t>
  </si>
  <si>
    <t>Valor media cuota en número</t>
  </si>
  <si>
    <t>Nombre del supervisor</t>
  </si>
  <si>
    <t>Cargo del supervisor</t>
  </si>
  <si>
    <t>Cédula del supervisor</t>
  </si>
  <si>
    <t>Número y fecha del Decreto de liquidación de presupuesto</t>
  </si>
  <si>
    <t>Número de la circular sobre la tabla de honorarios</t>
  </si>
  <si>
    <t>Certificado de Insuficiencia de Personal</t>
  </si>
  <si>
    <t>Fecha de aprobación</t>
  </si>
  <si>
    <t>Registro Presupuestal (RPC)</t>
  </si>
  <si>
    <t>Fecha del RPC</t>
  </si>
  <si>
    <t>Fecha ARL</t>
  </si>
  <si>
    <t>Feche de Ejejcución</t>
  </si>
  <si>
    <t>Adición 
Si/No</t>
  </si>
  <si>
    <t xml:space="preserve">Número cuotas Adición  </t>
  </si>
  <si>
    <t xml:space="preserve">Valor total adición en letras </t>
  </si>
  <si>
    <t xml:space="preserve">Valor total adición </t>
  </si>
  <si>
    <t xml:space="preserve">Valor total contrato mas adición en letras </t>
  </si>
  <si>
    <t xml:space="preserve">Valor total contrato mas adición </t>
  </si>
  <si>
    <t xml:space="preserve">ENLACE SECOP II </t>
  </si>
  <si>
    <t>CORREO ELECTRONICO</t>
  </si>
  <si>
    <t>DIRECCIÓN</t>
  </si>
  <si>
    <t>NÚMERO TELEFÓNICO</t>
  </si>
  <si>
    <t>RESTRICCIONES</t>
  </si>
  <si>
    <t>DIA NACIMIENTO</t>
  </si>
  <si>
    <t>MES NACIMIENTO</t>
  </si>
  <si>
    <t>AÑO NACIMIENTO</t>
  </si>
  <si>
    <t>EDAD</t>
  </si>
  <si>
    <t>Departamento Administrativo de Gestión Jurídica Pública</t>
  </si>
  <si>
    <t>Avenida 2N No 10-70. Centro Administrativo Municipal C.A.M. Piso 9. Santiago de Cali.</t>
  </si>
  <si>
    <t>ANA CATALINA CASTRO LOZANO</t>
  </si>
  <si>
    <t>29.180.813 de Cali (Valle del Cauca)</t>
  </si>
  <si>
    <t>Director Departamento Administrativo</t>
  </si>
  <si>
    <t>4112.010.20.0844 del 20 de septiembre de dos mil veinticuatro (2024)</t>
  </si>
  <si>
    <t>725 del ocho (08) de octubre de dos mil veinticuatro (2024)</t>
  </si>
  <si>
    <t>BERNARDA  SÁENZ BOLAÑOS</t>
  </si>
  <si>
    <t>Profesional Universitario</t>
  </si>
  <si>
    <t>MARÍA EUGENIA GONZÁLEZ ESPINOSA</t>
  </si>
  <si>
    <t xml:space="preserve">N.A. </t>
  </si>
  <si>
    <t>X</t>
  </si>
  <si>
    <t>31 de didciembre de 2026</t>
  </si>
  <si>
    <t>4121/1.2.1.0.00/2.1.2.02.02.009/04019999999</t>
  </si>
  <si>
    <t>82199_Otros servicios juridicos n c p</t>
  </si>
  <si>
    <t>Prestación de servicios profesionales</t>
  </si>
  <si>
    <t>PROFESIONALES</t>
  </si>
  <si>
    <t>PROFESIONAL ESPECIALIZADO</t>
  </si>
  <si>
    <t>4121.010.32.1.001</t>
  </si>
  <si>
    <t>4121.010.26.1.001</t>
  </si>
  <si>
    <t>ESTEFANY PALACIOS CÓRDOBA</t>
  </si>
  <si>
    <t>1.143.851.505 de Cali</t>
  </si>
  <si>
    <t>EJECUCIÓN</t>
  </si>
  <si>
    <t>Abogado (a) titulado (a) con Título de Posgrado</t>
  </si>
  <si>
    <t>Abogado de la Universidad Libre, terminación de materias 10/09/2016, graduado el 31/07/2019, Especialista en Derecho Público de la Universidad Externado de Colombia graduado el 21/10/2023</t>
  </si>
  <si>
    <t>Aplica</t>
  </si>
  <si>
    <t>338011 Expedida por el Consejo Superior de la Judicatura el 10 de diciembre de 2019</t>
  </si>
  <si>
    <t>*11/jul/2023 hasta 29/dic/2023, 5 meses 19 dias, Alcaldía de Santiago de Cali. * 11/may/2023 hasta 30/jun/2023, 1 mes y 19 dias, Alcaldía de Santiago de Cali. *23/ene/2023 hasta 30/abr/2023, 3 meses y 7 dias, Alcaldía de Santiago de Cali. *15/jul/2022 hasta 30/dic/2022, 5 meses y 16 dias, Alcaldía de Santiago de Cali. *14/ene/2022 hasta 30/jun/2022, 5 meses y 16 dias, Alcaldía deSantiago de Cali. *28/oct/2021 hasta 31/12/2021, 2 meses y 3 dias, Alcaldía de Santiago de Cali. * 12/agos/2021 hasta 08/oct/2021, 1 mes y 25 dias, Alcaldía de Santiago de Cali.* 01/feb/2021 hasta 30/jul/2021, 6 meses, Alcaldía de Santiago de Cali.*23/abr/2020 hasta 30/jun/2020, 2 meses y 7 dias Alcaldía de Santiafo de Cali* 13/May/2019 hasta 27/Dic/2019, 7 Meses y 14 días, Alcaldía de Santiago de Cali. *21/ene/2019 hasta 30/Abr/2019, 3 meses y 9 días, Alcaldía de Santiago de Cali, *16/Jul/2018 hasta 27/dic/2018, 5 meses y 11 días, Alcaldía de Santiago de Cali.* 16/ene/2018 hasta 31/may/2018, 4 meses y 15 dias, Alcaldía de Santiago de Cali. *Desde 20/oct/2017 hasta 29/dic/2017, 2 meses, y 9 días, Alcaldía de Cali. *Desde 13/jul/2017 hasta 29/sep/2017, 2 meses, y 16 días, Alcaldía de Cali. *Desde 23/ene/2017 hasta 30/jun/2017, 5 meses 7 dias, Alcaldía de Cali. Total; 4 años , 1 mes  y 26 días.</t>
  </si>
  <si>
    <t>Cincuenta y cuatro (54) meses de Experiencia Profesional</t>
  </si>
  <si>
    <t>Prestación de Servicios Profesionales Especializados brindando soporte en los asuntos jurídicos del despacho del Departamento Administrativo de Gestión Jurídica Pública.</t>
  </si>
  <si>
    <t xml:space="preserve">1.   Revisar los actos administrativos, comunicaciones oficiales, demás documentos y en especial los documentos que se generan en consecuencia de las actuaciones en procedimientos administrativos que deba suscribir el o la Director(a) del Departamento Administrativo de Gestión Jurídica Pública.  2. Apoyar en los asuntos administrativos y jurídicos del Director(a) del Departamento Administrativo de Gestión Jurídica Pública. 3. Proyectar los conceptos jurídicos que se le requieran y que deban ser firmados y aprobados por el Director del Departamento Administrativo de Gestión Jurídica Pública. 4. Proyectar los Actos Administrativos tales como Circulares, Resoluciones, Decretos entre otros que le sean asignados. 5.  Proyectar respuestas a las peticiones que le sean asignadas. 6. Asistir a las reuniones y mesas de trabajo que le sean asignadas y presentar un informe de lo acontecido en las mismas,  así mismo, brindar soporte jurídico para las reuniones a las que asista la directora cuando sea requerido. 7. Revisar y conceptuar, previo a la sanción del Alcalde, sobre la legalidad de los proyectos de Acuerdo aprobados por el Concejo. 8. Brindar apoyo en la Estructuración de  los procesos de contratación requeridos por el Organismo, cuando sea designado.  9. Las demás actividades que le asigne el supervisor del contrato y que se encuentren directamente relacionadas con el objeto contractual.
</t>
  </si>
  <si>
    <t>Treinta (30) de junio del dos mil veintiseis (2026)</t>
  </si>
  <si>
    <t>Cuarenta y seis millones novecientos cincuenta y seis mil pesos m/cte</t>
  </si>
  <si>
    <t>Seis</t>
  </si>
  <si>
    <t>Siete millones ochocientos veintiséis mil pesos m/cte</t>
  </si>
  <si>
    <t>No. 202541350100008374 del 21 de diciembre del 2025 con Alcance No. 202641350200000024 del 05 de enero del 2026</t>
  </si>
  <si>
    <t>202641370400000064 del 3 de enero de 2026</t>
  </si>
  <si>
    <t>https://community.secop.gov.co/Public/Tendering/OpportunityDetail/Index?noticeUID=CO1.NTC.9387904&amp;isFromPublicArea=True&amp;isModal=False</t>
  </si>
  <si>
    <t>tefip09@hotmail.com</t>
  </si>
  <si>
    <t>CARRERA 68 N # 1 C 17 CASA</t>
  </si>
  <si>
    <t xml:space="preserve">No </t>
  </si>
  <si>
    <t>4121.010.32.1.002</t>
  </si>
  <si>
    <t>4121.010.26.1.002</t>
  </si>
  <si>
    <t>FRANCY JOHANNA FÚQUENE CARVAJAL</t>
  </si>
  <si>
    <t>31.794.003 de Tulúa</t>
  </si>
  <si>
    <t>Abogado (a) con Título de posgrado</t>
  </si>
  <si>
    <t>Abogada de la Institución Universitaria Pública de Formación Profesional Unidad Central del Valle del Cauca graduada el 29/02/2009, Especialista en Derecho Público de la Universidad Externado de Colombia graduada el 02/05/2014.</t>
  </si>
  <si>
    <t>168860 del Consejo Superior de la Judicatura, expedida el 07/05/2008</t>
  </si>
  <si>
    <t>*Desde 17/oct/2006 hasta 30/nov/2008,  2 años, 1 meses y 14 dìas,  en el Rama Judicial del Poder Público Consejo Superior de la Judicatura .*Desde 01/oct/2010 hasta 01/05/2016,  5 años, 7 meses,  en el Consejo Superior de la Judicatura -Dirección Ejecutiva Seccional de la Administración Judicial Cali-Valle.   *Desde 05/jun/2017 hasta 04/abr/2019,  1 año, 9  meses y 28 días,  en  METROCALI S.A.*Desde 10/feb/2021 hasta 10/05/2021, 2 meses y 28 días, en  Centro de Diagnòstico de Palmira. *Desde 11/may/2023 hasta 31/08/2023, 3 meses y 20 días, en  Alcaldìa de Palmira.Total: 10 años y 1 mes.</t>
  </si>
  <si>
    <t>Noventa (90) meses de Experiencia Profesional relacionada</t>
  </si>
  <si>
    <t>Prestación de Servicios como Abogada Especializada en las actividades de asesoría juridica de la Dirección del Departamento Administrativo de Gestión Jurídica Pública del Distrito Especial de Santiago de Cali.</t>
  </si>
  <si>
    <t xml:space="preserve">1.  Revisar los actos administrativos, comunicaciones oficiales, demás documentos y en especial los documentos que se generan en consecuencia de las actuaciones en procedimientos administrativos que deba suscribir el o la Director(a) del Departamento Administrativo de Gestión Jurídica Pública.  2. Realizar las actividades descritas en el manual de contratacion del Distrito Especial de Santiago de Cali para el Gestor de Compras del Departamento Administrativo de Gestión Jurídica Pública. 3. Proyectar los conceptos jurídicos que se le requieran y que deban ser firmados y aprobados por el Director del Departamento Administrativo de Gestión Jurídica Pública. 4. Proyectar los Actos Administrativos tales como Circulares, Resoluciones, Decretos entre otros que le sean asignados. 5.  Proyectar respuestas a las peticiones que le sean asignadas. 6. Asistir a las reuniones y mesas de trabajo que le sean asignadas y presentar un informe de lo acontecido en las mismas,  así mismo, brindar soporte jurídico para las reuniones a las que asista la directora cuando sea requerido. 7. Revisar y conceptuar, previo a la sanción del Alcalde, sobre la legalidad de los proyectos de Acuerdo aprobados por el Concejo. 8. Brindar apoyo en la supervisión de contratos cuando sea designado por el ordenador del gasto. 9. Las demás actividades que le asigne el supervisor del contrato y que se encuentren directamente relacionadas con el objeto contractual.
</t>
  </si>
  <si>
    <t>Sesenta y dos millones doscientos cuarenta y cuatro mil pesos m/cte</t>
  </si>
  <si>
    <t>Diez millones trescientos setenta y cuatro mil pesos m/cte</t>
  </si>
  <si>
    <t>202641370400001334 del 13 de enero de 2025</t>
  </si>
  <si>
    <t>https://community.secop.gov.co/Public/Tendering/OpportunityDetail/Index?noticeUID=CO1.NTC.9538686&amp;isFromPublicArea=True&amp;isModal=False</t>
  </si>
  <si>
    <t>johafc@hotmail.com</t>
  </si>
  <si>
    <t>Via Cali-Jamundí Ciudadela el Castillo, Tulipanes del Castillo, C-68</t>
  </si>
  <si>
    <t>NO</t>
  </si>
  <si>
    <t>N.A.</t>
  </si>
  <si>
    <t>82221_Servicios de contabilidad</t>
  </si>
  <si>
    <t>PROFESIONAL</t>
  </si>
  <si>
    <t>4121.010.32.1.003</t>
  </si>
  <si>
    <t>4121.010.26.1.003</t>
  </si>
  <si>
    <t>JETSABEL MÉNDEZ ILES</t>
  </si>
  <si>
    <t>1.130.624.259 de Cali</t>
  </si>
  <si>
    <t>Contador (a) Titulado (a)  y Dos (2) años de experiencia profesional como equivalencia al Título de posgrado en la modalidad de especialización, de conformidad con el numeral 8.3.1 de la tabla de Honorarios expedida por el Distrito de Santiago de Cali, mediante Circular No.4135.010.22.2.1020.000004 el día 4 de enero de 2024.</t>
  </si>
  <si>
    <t>Contadora Pública de la Universidad Santiago de Cali, graduada el 02/04/2018</t>
  </si>
  <si>
    <t>272419- T de la Junta Central de Contadores, expedida el 13 julio de 2020</t>
  </si>
  <si>
    <t>*Desde 13/ene/2025 hasta 05/dic/2025,  10 meses y 22 días, Alcaldía de Santiago de Cali.*Desde 13/nov/2024 hasta 30/dic/2024,  1 mes y 17días, Alcaldía de Santiago de Cali.*Desde 19/ene/2024 hasta 30/abr/2024, 3 meses y 11 días, Alcaldía de Santiago de Cali.*Desde 07/jul/2023 hasta 29/dic/2023, 5 meses y 22 días, Alcaldía de Santiago de Cali.*Desde 08/may/2023 hasta 30/jun/2023, 1 mes y 22 días, Alcaldía de Santiago de Cali.*Desde 17/ene/2023 hasta 30/abr/2023, 3 meses y 13 días, Alcaldía de Santiago de Cali.*Desde 12/Jul/2022 hasta 30/dic/2022, 5 meses y 18 dias, Alcaldía de Santiago de Cali.*Desde 14/ene/2022 hasta 30/jun/2022, 5 meses y 16 dias, Alcaldía de Santiago de Cali. *Desde 27/ene/2021 hasta 31/jul/2022, 6 meses y 4 dias, Alcaldía de Santiago de Cali. *Desde11/ago/2021 hasta 9/oct/2021, 1 mes y 27 dias, Alcaldía de Santiago de Cali.*Desde 14/oct/2021 hasta 31/dic/2021, 2 meses y 17 dias, Alcaldía de Santiago de Cali. *Desde 31/nov/2020 hasta 28/dic/2020, 27 días, Alcaldía de Santiago de Cali. * desde 14/jul/2020 hasta 31/oct/2020, 3 meses y 17 días, Alcaldía de Santiago de Cali. Total 4 años, 4 meses y 23 días.</t>
  </si>
  <si>
    <t>Cuarenta y ocho (48) meses de Experiencia Profesional</t>
  </si>
  <si>
    <t>Prestación de servicios profesionales especializados como contadora en las actividades correspondientes al proceso de Gestión Contractual adelantado por el Departamento Administrativo de Gestión Jurídica Pública del Distrito Especial de Santiago de Cali.</t>
  </si>
  <si>
    <t xml:space="preserve">1. Brindar apoyo en la ejecución de las actividades asignadas al gestor de compras del Departamento Administrativo de Gestión Jurídica Pública. 2. Elaborar Fichas Técnicas Contables de los contratos de prestación de servicios celebrados por el DAGJP y adelantas las tareas  del trámite ante el Departamento Administrativo de Hacienda, de las fichas técnicas cotables que correspondan a contratos celebrados con personas jurídicas. 3. Brindar apoyo en la Proyección, elaboración y seguimiento del Plan anual de Adquisiciones del Departamento, asi como reportar oportunamente al gestor de compras o la supervisión los plazos estimados para el inicio de la contratación, así como las novedades que requieran atención del organismo. 4. Realizar la verificación presupuestal y contable de cuentas de cobro presentadas por los prestadores de servicios  y en general de todos los proveedores del organismo. 5. Brindar apoyo en la incorporación de los  documentos de las cuentas de cobro de prestadores de servicios y proveedores en el sistema SGAFT - SAP. 6. Brindar apoyo en las actividades de  publicación, seguimiento y cierre de todas las etapas contractuales en la Plataforma de SECOP I Y II y en general todas las interacciones que se requieran con la plataforma de contratación.  7. Brindar apoyo  en el manejo del aplicativo Sistemas de Aplicaciones y Productos (SAP) y el aplicativo de Gestión de contratistas, cuando sea requerido.  8. Brindar apoyo en la verificación de la conformación de los expedientes contractuales de manera que estos cuenten con la totalidad de los documentos generados durante todas las etapas de la contratación. 9. Brindar apoyo en la Estructuración de  los procesos de contratación requeridos por el Organismo, cuando sea designado. 10. Atender las demás solicitudes y/o actividades que realice el supervisor del contrato y que se encuentren relacionadas con el objeto del mismo. </t>
  </si>
  <si>
    <t>Treinta y siete millones cuatrocientos ochenta y dos mil pesos m/cte</t>
  </si>
  <si>
    <t>Seis millones doscientos cuarenta y siete mil pesos m/cte</t>
  </si>
  <si>
    <t>https://community.secop.gov.co/Public/Tendering/OpportunityDetail/Index?noticeUID=CO1.NTC.9399014&amp;isFromPublicArea=True&amp;isModal=False</t>
  </si>
  <si>
    <t>jetsabelth.m@gmail.com</t>
  </si>
  <si>
    <t>CARRERA 98 B # 48 127 APTO 710 TORRE 1</t>
  </si>
  <si>
    <t>No</t>
  </si>
  <si>
    <t>83115_Servicios de consultoria en gestion administrativa</t>
  </si>
  <si>
    <t>4121.010.32.1.004</t>
  </si>
  <si>
    <t>4121.010.26.1.004</t>
  </si>
  <si>
    <t>VIVIANA PATRICIA VALENCIA TRIVIÑO</t>
  </si>
  <si>
    <t>66.836.694 de Cali</t>
  </si>
  <si>
    <t>Profesional en administración de empresas, administración y gestor de empresas, administración financiera, administración pública y/o afines, con título de posgrado</t>
  </si>
  <si>
    <t>Administradora de Empresas de la Universidad Santiago de Cali, graduada el 15/11/2000, Especialista en Gerencia de Auditoria Interna de la Universidad Santiago de Cali, graduada el 19/11/2018.</t>
  </si>
  <si>
    <t>32488 del Consejo Profesional de Administracion de Empresas, expedida el 31 de enero del 2007</t>
  </si>
  <si>
    <t>*Desde 13/Jun/2024 hasta 31/Oct/2024, 4 meses y 8 dias,  Alcaldía de Santiago de Cali.* Desde 19/ene/2024 hasta 30/abr/2024, 3 meses y 10 dias,  Alcaldía de Santiago de Cali. *Desde 
7/jul/2023 hasta 29/12/2023, 5 meses y 22 dias, Alcaldía de Santiago de Cali. *Desde 8/may/2023 hasta 30/jun/2023, 1 mes y 22 dias, Alcaldía de Santiago de Cali. *Desde 12/jul/2022 hasta 30/dic/2022, 5 meses y 18 dias,  Alcaldía de Santiago de Cali.*Desde 14/jul/2020 hasta 31/oct/2020, 3 meses y 17 dias, Alcaldía de Santiago de Cali *Desde 17/abr/2020 hasta 30/jun/2020,2 meses y 13 dias, Alcaldía de Santiago de Cali. *Desde 24/feb/2020 hasta 31/marz/2020, 1 mes y 7 dias,Alcaldía de Santiago de Cali. *Desde 9/may/2019 hasta 27/dic/2019, 7 meses y 18 días, Alcaldía de Santiago de Cali. *Desde10/jul/2018 hasta 27/dic/2018, 5 meses y 17 días, Alcaldía de Santiago de Cali, *Desde 16/ene/2018 hasta 29/jun/2018, 5 meses y 13 días, Alcaldía de Santiago de Cali. Total:3 años,10 meses y 15 dìas.</t>
  </si>
  <si>
    <t>Veinticuatro (24) meses de Experiencia Profesional</t>
  </si>
  <si>
    <t>Prestación de servicios profesionales especializados en el proceso de Gestión Contractual del Departamento Administrativo de Gestión Jurídica Pública del Distrito Especial de Santiago de Cali</t>
  </si>
  <si>
    <t>1. Elaborar los análisis del sector económico requeridos para los diferentes procesos de contratación que adelante el Organismo para lo cual, en caso de que se requiera, consultará las bases de datos especializadas para calcular indicadores financieros en los procesos de contratación  2.  Brindar soporte en la actualización y publicación de los documentos correspondientes al expediente contractual en los diferentes sistemas de información.   3. Solicitar cuando se requiera, cotizaciones, análisis y revisión de los precios de mercado 4. Brindar soporte en la publicación, seguimiento y cierre de todas las etapas contractuales en la Plataforma SECOP I Y II y en general todas las interacciones que se requieran con la plataforma de contratación.  5. Brindar soporte y orientación a los proveedores del organismo en el registro de la plataforma del SECOP II. 6. Proyectar, tramitar y publicar Actas de liquidación en la Plataforma de SECOP II.  7. Brindar soporte en el manejo del aplicativo Sistemas de Aplicaciones y Productos (SAP) y el aplicativo de Gestión de contratistas. 8. Desarrollar las actividades a que haya lugar relacionadas con la solicitud de creación de terceros de la entidad. 9. Realizar la verificación presupuestal y contable de cuentas de cobro presentadas por los prestadores de servicio  y proveedores del organismo. 10. Incorporación de documentos de las cuentas de cobro de prestadores de servicios y proveedores en el sistema SGAFT - SAP. 11.  Estructurar los procesos de contratación requeridos por el Organismo. 12. Atender las demás solicitudes y/o actividades que realice el (la) Director (a) del Departamento Administrativo de Gestión Jurídica Pública ó el supervisor relacionadas con el objeto del contrato.</t>
  </si>
  <si>
    <t>https://community.secop.gov.co/Public/Tendering/OpportunityDetail/Index?noticeUID=CO1.NTC.9387551&amp;isFromPublicArea=True&amp;isModal=False</t>
  </si>
  <si>
    <t>vivaltri@hotmail.com</t>
  </si>
  <si>
    <t xml:space="preserve">CALLE 74 N  # 8 N 01 Cali Casa </t>
  </si>
  <si>
    <t xml:space="preserve">si </t>
  </si>
  <si>
    <t>Fortalecimiento del Ciclo de Defensa Jurídica y de la Política de Mejora Normativa del Distrito Especial de Santiago de Cali</t>
  </si>
  <si>
    <t>Establecer lineamientos que mejoren la eficiencia en la gestión del ciclo de defensa jurídica del Distrito Especial de Santiago de Cali.</t>
  </si>
  <si>
    <t>Apoyar la gestión jurídica normativa, en acciones que encaminen a brindar seguridad jurídica</t>
  </si>
  <si>
    <t>BP-26005460/1/01/01/06</t>
  </si>
  <si>
    <t>4121/1.2.1.0.00/2.3.2.02.02.008/63020010002/BP260054601010106</t>
  </si>
  <si>
    <t>4121.010.32.1.005</t>
  </si>
  <si>
    <t>4121.010.26.1.005</t>
  </si>
  <si>
    <t>JOSE DAVID OBANDO RESTREPO</t>
  </si>
  <si>
    <t>1.144.030.049 de Cali</t>
  </si>
  <si>
    <t>Abogado graduado de la Pontificia Universidad Javeriana Cali el 19 de junio de 2015, Especialista en Cultura de Paz y Derecho Internacional Humanitario de la Universidad Pontificia Universidad Javeriana el día 08 de marzo de 2019.</t>
  </si>
  <si>
    <t>260502 del Consejo Superior de la Judicatura, expedida el 11/julio/2015</t>
  </si>
  <si>
    <t>*Desde 16/marzo/2017 hasta 15/junio/2017, 2 meses y 25 días, en Alcaldía de Santiago de Cali. *Desde 29/junio/2017 hasta 31/dic/2017, 6 meses, y 2 días en Alcaldía de Santiago de Cali. *Desde 24/enero/2019 hasta 31/marzo/2019, 2 meses y 7 días, en Alcaldía de Santiago de Cali. *Desde 05/abril/2019 hasta 31/mayo/2019, 1 mes y 26 días, en Alcaldía de Santiago de Cali. *Desde 20/junio/2019 hasta 31/diciembre/2019, 6 meses y 11 días, en Alcaldía de Santiago de Cali. *Desde 24/enero/2024 hasta 30/abril/2024, 3 meses, y 6 días, en Alcaldía de Santiago de Cali. *Desde 19/febrero/2020 hasta 28/diciembre/2020, 10 meses, y 9 días, en el Departamento Administrativo para la Prosperidad Social-Prosperidad Social. *07/enero/2021 hasta 30/diciembre/2021, 11 meses y 23 días, en el Departamento Administrativo para la Prosperidad Social-Prosperidad Social. *05/enero/2022 hasta 30/diciembre/2022, 11 meses, y 25 días, en el Departamento Administrativo para la Prosperidad Social-Prosperidad Social. *Desde 22/agosto/2022 hasta 13/septiembre/2024, 2 años y 20 días, en Kiel S.A.S. *Desde 16/marzo/2023 hasta 15/noviembre/2023, 7 meses y 25 días, en Alcaldía Mayor de Bogotá Secretaria Habitat. Total 7 años, 4 meses y 29 dias.</t>
  </si>
  <si>
    <t>Prestación de servicios profesionales como abogado especializado, brindando apoyo en la Subdirección de Doctrina y Asuntos Normativos del Departamento Administrativo de Gestión Jurídica Pública del Distrito Especial de Santiago de Cali, en las actividades relacionadas con la gestión jurídica normativa y en la realización de acciones encaminadas a brindar seguridad jurídica de las Actuaciones Administrativas del Ente Territorial, en el marco del proyecto de inversión denominado "Fortalecimiento del Ciclo de Defensa Jurídica y de la Política de Mejora Normativa del Distrito Especial de Santiago de Cali" BP-26005460 "</t>
  </si>
  <si>
    <t>1. Proyectar y revisar los actos administrativos tales como Decretos, Resoluciones, Circulares entre otros, a partir de la aplicación de las normas, jurisprudencia y doctrina; asignados por el Director de Gestión Jurídica y/o supervisor asignados por el Director de Gestión Jurídica y/o supervisor. 
 2. Revisar los documentos desde su dimensión legal que deban ser sancionados o suscritos por el Alcalde Municipal, asignados por el supervisor y sin perjuicio de la aprobación técnico- jurídica, presupuestal que deban impartir los jefes de los organismos municipales.
 3. Apoyar en la revisión de los proyectos de acuerdo, así como revisar y conceptuar, previo a la sanción del Alcalde, sobre la legalidad de los proyectos de Acuerdo aprobados por el Concejo, que deban ser viabilizados jurídicamente por del Departamento Administrativo de Gestión Jurídica Pública.
 4.Proyectar los conceptos jurídicos que deban ser firmados y aprobados por el Director del Departamento Administrativo de Gestión Jurídica Pública, a partir de la aplicación de las normas, jurisprudencia y doctrina para la gestión jurídica del Distrito de Santiago de Cali. 
 5. Proyectar las respuestas desde la dimensión legal a las peticiones (PQRD) radicadas ante la Subdirección de Doctrina y Asuntos Normativos, dentro de los plazos legalmente establecidos y conforme a las instrucciones impartidas por el Director de Gestión Jurídica y/o el supervisor designado.
 6. Apoyar en la proyección y sustanciación de los procesos que resuelven los recursos en sede administrativa, cuando procedan y que le sean asignados por el Supervisor del Contrato.
 7.Apoyar en la proyección y sustanciación de los procesos que resuelven los recursos de segunda instancia en materia disciplinaria, cuando procedan y que le sean asignados por el Supervisor del Contrato.
 8.Asistir o convocar las reuniones y mesas de trabajo que le sean asignadas y presentar un reporte de lo acontecido en las mismas. Así mismo, brindar soporte jurídico para las reuniones a las que asistan el Director de Gestión Jurídica y/o supervisor. 
 9.Las demás actividades que le asigne el supervisor del contrato y que se encuentren directamente relacionadas con el objeto contractual.</t>
  </si>
  <si>
    <t>Siete millones ochocientos veintiséis mil pesosm/cte</t>
  </si>
  <si>
    <t>ANGELA MARÍA CATALÁN GUTIÉRREZ</t>
  </si>
  <si>
    <t>Subdirector de Doctrina y Asuntos Normativos</t>
  </si>
  <si>
    <t>https://community.secop.gov.co/Public/Tendering/OpportunityDetail/Index?noticeUID=CO1.NTC.9388256&amp;isFromPublicArea=True&amp;isModal=False</t>
  </si>
  <si>
    <t>jose.david.obando@gmail.com</t>
  </si>
  <si>
    <t>4121.010.32.1.006</t>
  </si>
  <si>
    <t>4121.010.26.1.006</t>
  </si>
  <si>
    <t>EMMANUEL ALJURE DOMÍNGUEZ</t>
  </si>
  <si>
    <t>1.143.842.803 de Cali</t>
  </si>
  <si>
    <t>Abogado de la Pontificia Universidad Javerina graduado el 08/marzo/2019, Especialista en Derecho Constitucional, graduado el 18/diciembre/2020.</t>
  </si>
  <si>
    <t>340736 Expedida por el Consejo Superior de la Judicatura el 23 de enero de 2020</t>
  </si>
  <si>
    <t>*Desde 07/ene/2021 hasta 30/jun/2023, 2 años, 5 meses y 23 días en el Departamento del Valle del Cauca. Desde 03 /jul/2020 hasta 30/dic/2020, 5 meses y 27 días en la Corporación para el Desarrollo Social y Cultural del Valle del Cauca-CORPOVALLE . Total 2 años, 11 meses y 20 días.</t>
  </si>
  <si>
    <t>Prestación de Servicios Profesionales Especializados brindando soporte en procesos administrativos, de calidad y jurídicos del Departamento Administrativo de Gestión Jurídica Pública.</t>
  </si>
  <si>
    <t>1.Apoyar en los asuntos administrativos y jurídicos del Director(a) del Departamento Administrativo de Gestión Jurídica Pública. 2. Atender  las diferentes auditorías realizadas por los Entes de Control y Control Interno. 3. Brindar soporte en la formulación, elaboración y seguimiento de los planes de mejoramiento suscritos por el Departamento Administrativo de Gestión Jurídica Pública y de aquellos que formulen los organismos para consideracion del Alcalde. 4. Brindar soporte en la consolidación de los informes de gestión del organismo  5. Brindar soporte en la formulación, elaboración, sustentación, ejecución, seguimiento y ajustes al Plan Operativo Anual de Inversiones POAI utilizando la Metodología General Aplicada (MGA), siguiendo los lineamientos del DAPM y aplicando criterios jurídicos – administrativos para su elaboración 6. Brindar soporte en la implementación y sostenimiento del Modelo Integrado de Planeación y Gestión (MIPG), del modelo estándar de control interno (MECI) siguiendo los procedimientos establecidos. 7.  Revisar y proyectar actos administrativos y atender derechos de petición que le sean asignados. 8. Apoyar las diferentes etapas de la contratacion del organismo, cuando sea requerido. 9. Realizar el apoyo de la supervisión de los contratos asignados por el Director del Departamento Administrativo de Gestión Jurídica. 10. Atender las demás solicitudes y/o actividades que realice el (la) Director (a) del Departamento Administrativo de Gestión Jurídica Pública ó el supervisor relacionadas con el objeto del contrato.</t>
  </si>
  <si>
    <t>https://community.secop.gov.co/Public/Tendering/OpportunityDetail/Index?noticeUID=CO1.NTC.9387553&amp;isFromPublicArea=True&amp;isModal=False</t>
  </si>
  <si>
    <t>emmanuelaljure08@gmail.com</t>
  </si>
  <si>
    <t>CALLE 8 C # 46-61 BLOQUE A  APTO. 402</t>
  </si>
  <si>
    <t>4121/1.2.1.0.00/2.1.2.02.02.008/04019999999</t>
  </si>
  <si>
    <t>4121.010.32.1.007</t>
  </si>
  <si>
    <t>4121.010.26.1.007</t>
  </si>
  <si>
    <t>ÓSCAR MAURICIO BETANCUR JIMÉNEZ</t>
  </si>
  <si>
    <t>94.499.577 de Cali</t>
  </si>
  <si>
    <t>Profesional en administración de empresas, administración y gestor de empresas, administración financiera, administración pública y/o afines</t>
  </si>
  <si>
    <t>Administrador Público de la Escuela Superior de Administración Pública ESAP, termino materias 13/06/2023, graduado el 26/10/2023</t>
  </si>
  <si>
    <t>1253904-T Del Colegio Colombiano del Administrador Público, expedida el 11 de enero 2024</t>
  </si>
  <si>
    <t>*Desde 13/ene/2025 hasta 11/dic/2025, 10 meses y 27 días, Alcaldía de Santiago de Cali. *Desde 24/may/2024 hasta 31/oct/2024, 5 meses, y 27 días, Alcaldía de Santiago de Cali. *19/ene/2024 hasta 30/abr/2024, 3 meses y 11 dias, Alcaldía de Santiago de Cali. *7/jul/2023 hasta 29/dic/2023, 5 meses y 22 dias, Alcaldía de Santiago de Cali. Total: 2 años, 1 mes  y 27 días.</t>
  </si>
  <si>
    <t>Dieciocho (18) meses de experiencia profesional</t>
  </si>
  <si>
    <t>Prestación de servicios profesionales como administrador público para la gestión de las actividades correspondientes al proceso de Gestión Contractual del Departamento Administrativo de Gestión Jurídica Pública del Distrito Especial de Santiago de Cali.</t>
  </si>
  <si>
    <t xml:space="preserve">1. Brindar soporte  a las actividades del proceso de Gestión Contractual del Organismo, en lo relacionado con el trámite de afiliación de los contratistas de prestación de servicios profesionales y/o de apoyo a la gestión - personas naturales, a la Aseguradora de Riesgos Laborales – ARL a la cual se encuentra afiliada el Distrito Especial de Santiago de Cali.  2. Brindar soporte en la actualización del aplicativo de Gestión de Contratación incorporando todos los documentos expedidos en el desarrollo de la gestión contractual necesarios para el trámite de elaboración de RPC y Fichas Técnicas. 3. Elaborar el informe de cuentas presentadas para la liberación de RPC que realiza el Organismo, previo envío al Departamento de Hacienda. 4. Revisión y alistamiento de la  información requerida correspondiente a los contratos de prestación de servicios para la realización del reporte mensual al SIA OBSERVA. 5. Realizar los registros necesarios en el sistema de gestión financiera (SAP) para el funcionamiento del organismo cuando se le requiera. 6. Brindar apoyo en todas las acciones presupuestales que le sean asignadas. 7. Brindar soporte en las actividades técnicas para el recibo y entrega de los elementos que ingresan al almacén del organismo, que le permitan la elaboración de informes de inventario y ajustes de almacén en el sistema SAP. 8.  Realizar la verificación presupuestal y contable de cuentas de cobro presentadas por los prestadores de servicio  y proveedores del organismo que le sean asignadas. 9. Incorporación de documentos de las cuentas de cobro de prestadores de servicios y proveedores en el sistema SGAFT - SAP.  10. Atender las demás solicitudes y/o actividades que realice el (la) Director (a) del Departamento Administrativo de Gestión Jurídica Pública ó el supervisor relacionadas con el objeto del contrato.
</t>
  </si>
  <si>
    <t>Treinta y tres millones novecientos setenta y ocho mil pesos m/cte</t>
  </si>
  <si>
    <t>Cinco millones seiscientos sesenta y tres mil pesos m/cte</t>
  </si>
  <si>
    <t>https://community.secop.gov.co/Public/Tendering/OpportunityDetail/Index?noticeUID=CO1.NTC.9387497&amp;isFromPublicArea=True&amp;isModal=False</t>
  </si>
  <si>
    <t>maobjp1510@hotmail.com</t>
  </si>
  <si>
    <t>CALLE 33 B # 2 N 83 apartamento C 103</t>
  </si>
  <si>
    <t>85999_Otros servicios de apoyo n c p</t>
  </si>
  <si>
    <t>4121.010.32.1.008</t>
  </si>
  <si>
    <t>4121.010.26.1.008</t>
  </si>
  <si>
    <t>RUBÉN DARÍO SÁNCHEZ RIVERA</t>
  </si>
  <si>
    <t>16.379.400 de Cali</t>
  </si>
  <si>
    <t>Ingeniero (a) Industrial titulado (a)</t>
  </si>
  <si>
    <t>Ingeniero Industrial de la Fundación de Educación Superior San José, graduado el 01/07/2022</t>
  </si>
  <si>
    <t>76228-399080 VLL091239-0628285 del Consejo Profesional Nacional de Ingenieria, expedida el 28/07/2022</t>
  </si>
  <si>
    <t>*Desde el 01/julio/2022 hasta el 09/noviembre/2023, 1 año, 4 meses y 8 dias en PRODUEMPAK. *Desde 13/enero/2022 hasta 30/junio/2022, 5 meses y 15 días en Alcaldía de Santiago de Cali.  *Desde 09/julio/2021 hasta 24/diciembre/2021, 5 meses y 15 días en Alcaldía de Santiago de Cali. Total: 2 años,  3 meses  y 8 dìas.</t>
  </si>
  <si>
    <t>Doce (12) meses de experiencia profesional</t>
  </si>
  <si>
    <t>Prestación de servicios profesionales como ingeniero industrial para la gestión de las actividades correspondientes al proceso de Gestión Contractual del Departamento Administrativo de Gestión Jurídica Pública del Distrito Especial de Santiago de Cali</t>
  </si>
  <si>
    <t>1. Brindar soporte en las actividades asignadas al gestor de compras del Departamento Administrativo de Gestión Jurídica Pública. 2. Brindar soporte en la publicación, seguimiento y cierre de todas las etapas contractuales en la Plataforma de SECOP I Y II y en general todas las interacciones que se requieran con la plataforma de contratación. 3. Brindar soporte en el manejo de los diferentes aplicativos de contratación  4. Brindar soporte verificando que se incorporen a los expedientes contractuales la totalidad de los documentos generados durante todas las etapas de la contratación. 5. Elaborar los análisis del sector económico requeridos para los diferentes procesos de contratación que adelante el Organismo para lo cual, en caso de que se requiera, consultará las bases de datos especializadas para calcular indicadores financieros en los procesos de contratación. 6. Estructurar los procesos de contratación requeridos por el Organismo. 7. Apoyar en la validación de información en la plataforma SIGEP. 8. Atender las demás solicitudes y/o actividades que realice el (la) Director (a) del Departamento Administrativo de Gestión Jurídica Pública ó el supervisor relacionadas con el objeto del contrato.</t>
  </si>
  <si>
    <t>Veintiocho millones ochocientos treinta mil pesos m/cte</t>
  </si>
  <si>
    <t>Cuatro millones ochocientos cinco mil pesos m/cte</t>
  </si>
  <si>
    <t>https://community.secop.gov.co/Public/Tendering/OpportunityDetail/Index?noticeUID=CO1.NTC.9387490&amp;isFromPublicArea=True&amp;isModal=False</t>
  </si>
  <si>
    <t>rdsanchez0985@gmail.com</t>
  </si>
  <si>
    <t>85954_Servicios de preparacion de documentos y otros servicios especializados de apoyo a oficina</t>
  </si>
  <si>
    <t>Prestación de servicios de apoyo a la gestión</t>
  </si>
  <si>
    <t>DE APOYO A LA GESTIÓN</t>
  </si>
  <si>
    <t>TÉCNICO</t>
  </si>
  <si>
    <t>4121.010.32.1.009</t>
  </si>
  <si>
    <t>4121.010.26.1.009</t>
  </si>
  <si>
    <t>MARÍA FERNANDA CASTAÑO RIVERA</t>
  </si>
  <si>
    <t>1.144.203.212 de Cali</t>
  </si>
  <si>
    <t>Técnico o Tecnólogo en las áreas de administración, contaduría, finanzas, sistemas y/o en disciplinas afines.</t>
  </si>
  <si>
    <t>Bachiler TÉCNICO Especialidad Comercio,Técnico en Recursos Humanos</t>
  </si>
  <si>
    <t>No aplica</t>
  </si>
  <si>
    <t>*14/may/2019 hasta 27/dic/2019, 7 meses y 13 días, Alcaldía de Santiago de Cali, *22/ene/2019 hasta 30/abr/2019, 3 meses y 8 días, Alcaldía de Santiago de Cali, 18/sep/2018 hasta 27/dic/2018, 3 meses y 9 días, Alcaldía de Santiago de Cali. *2/MAY/2018 hasta 4/jul/2018, 2 meses y 2 dias, EMAS -CALI. * 8/sep/2017 hasta 30/Dic/2017, 3 Meses y 22 Dias, Comercializadora ZEROTTI S.A.S. *25/Jul/2017 Hasta 3/Sep/2017, 1 mes y 9 Dias, Arcos Dorados Colombia S.A.S. *2/Ago/2016 Hasta 10/Abr/2017, 8 Meses y 8 Dias, Agropecuaria de Occidente S.A.S. Total: 2 años, 11 meses y 11 días.</t>
  </si>
  <si>
    <t>Doce (12) meses de Experiencia Laboral</t>
  </si>
  <si>
    <t>Prestación de servicios de apoyo a la gestión en el Centro de Documentación y Correspondencia del Departamento Administrativo de Gestión Jurídica Pública del Distrito Especial de Santiago de Cali.</t>
  </si>
  <si>
    <t xml:space="preserve">1. Brindar apoyo al desarrollo de las actividades administrativas en centro de documentación y correspondencia  del Departamento Administrativo de Gestión Jurídica Pública del Distrito Especial de Santiago de Cali.  2. Recibir y organizar los documentos internos y externos dirigidos al Departamento Administrativo de Gestión Jurídica Pública, en el marco del proceso de Gestión documental.  3. Aplicar el formato de encuesta de atención al usuario.  4. Realizar la clasificación de las comunicaciones oficiales recibidas por el Sistema de gestión documental del Distrito, re direccionando de acuerdo a la instrucción del Director del Departamento Administrativo de Gestión Jurídica Pública.  5. realizar la depuración del sistema de gestión documental Orfeo.  6. Las demás actividades que le asigne el supervisor del contrato y que se encuentren directamente relacionadas con el objeto contractual. </t>
  </si>
  <si>
    <t>Veintiun millones trescientos seis mil pesos m/cte</t>
  </si>
  <si>
    <t>Tres millones quinientos cincuenta y un mil pesos m/cte</t>
  </si>
  <si>
    <t>https://community.secop.gov.co/Public/Tendering/OpportunityDetail/Index?noticeUID=CO1.NTC.9388178&amp;isFromPublicArea=True&amp;isModal=False</t>
  </si>
  <si>
    <t xml:space="preserve">m.f.castanorivera@gmail.com
</t>
  </si>
  <si>
    <t>Carrera 2 B No 59 D-32</t>
  </si>
  <si>
    <t>4121.010.32.1.010</t>
  </si>
  <si>
    <t>4121.010.26.1.010</t>
  </si>
  <si>
    <t>MANUEL FERNANDO VELÁSQUEZ RÍOS</t>
  </si>
  <si>
    <t>16.077.805 de Manizales</t>
  </si>
  <si>
    <t>Bachiller académico del Instituto Universitario de Caldas, graduado el 19/04/2002, Técnico Profesional en Servicio de Policia, de la Dirección de Educación Policial Institución Universitaria, graduado el 27 de febrero de 2012.</t>
  </si>
  <si>
    <t>Desde el 10/10/2003 al 28/06/2023, 19 años, 8 meses y 18 dias, en la Policía Nacional de Colombia.                           Total 19 años, 8 meses y 18 dìas.</t>
  </si>
  <si>
    <t>Prestación de servicios de apoyo a la gestión de actividades administrativas y logistícas requeridas por el Departamento Administrativo de Gestión Jurídica Pública del Distrito Especial de Santiago de Cali.</t>
  </si>
  <si>
    <t>1.   Brindar apoyo en las actividades correspondientes a la conducción de los vehículos asignados al  Departamento, según programación administrativa, para facilitar el desplazamiento dentro y fuera de la ciudad. 2.Tasladar al personal que se requiera a los lugares de reuniones institucionales conforme a las instrucciones del supervisor. 3. Solicitar oportunamente el mantenimiento preventivo y correctivo de los vehículos asignados para asegurar su adecuado funcionamiento. 4. Mantener actualizada la documentación de los vehículos e informar con antelación a la fecha de vencimiento para tramitar la respectiva renovación. 5. En caso de accidente, informar a las autoridades competentes y al supervisor, de tal manera que permita su intervención oportuna. 6. Manejar de manera confidencial la información de que tenga conocimiento por la prestación de sus servicios. 7. Responder por las multas o sanciones de tránsito en que se incurra en la prestación del servicio. 8. Apoyar en la digitación, transcripción y procesamiento de la información pertinente a los procesos y procedimientos que se adelanten en el Departamento Administrativo de Gestión Jurídica Pública. 9. Atender las demás solicitudes y/o actividades que realice el (la) Director (a) del Departamento Administrativo de Gestión Jurídica Pública ó el supervisor relacionadas con el objeto del contrato.</t>
  </si>
  <si>
    <t>https://community.secop.gov.co/Public/Tendering/OpportunityDetail/Index?noticeUID=CO1.NTC.9387483&amp;isFromPublicArea=True&amp;isModal=False</t>
  </si>
  <si>
    <t>manuel1313poli@gmail.com</t>
  </si>
  <si>
    <t>CRA 79 #14C-50 PRADOS DEL LIMONAR</t>
  </si>
  <si>
    <t>Abogada contratista</t>
  </si>
  <si>
    <t>ASISTENCIAL</t>
  </si>
  <si>
    <t>4121.010.32.1.011</t>
  </si>
  <si>
    <t>4121.010.26.1.011</t>
  </si>
  <si>
    <t>PABLO CESAR CAMILO CAICEDO</t>
  </si>
  <si>
    <t>1.002.982.152 de Cali</t>
  </si>
  <si>
    <t>Bachiller en cualquiera de sus modalidades</t>
  </si>
  <si>
    <t>Bachiller Académico del Colegio Senderos de Paz, graduado el 24/11/2019</t>
  </si>
  <si>
    <t>Desde el 01/11/2022 al 31/12/2023, 1 año, 1 mes y 30 dias en La Fundación Construyendo Caminos para la Esperanza FUNCAPAZE. Total 1 año, 1 mes y 30 días.</t>
  </si>
  <si>
    <t>Seis (06) meses de experiencia laboral o  únicamente 18 meses de experiencia laboral (sin Título de bachiller)</t>
  </si>
  <si>
    <t>Prestación de servicios de apoyo a la gestión en las actividades de manejo de invetarios y del almacén del Departamento Administrativo de Gestión Jurídica Pública del Distrito Especial de Santiago de Cali.</t>
  </si>
  <si>
    <t>1. Clasificar y archivar los diversos documentos que le sean encomendados, especialmente producto de la gestión de las cajas menores. 2. Apoyar en el suministro de insumos de oficina y en la gestión del almacén del organismo. 3. Apoyar en el seguimiento de los consumos de combustible del parque automotor del organismo. 4. Escanear documentos, tomar fotocopias, atender al público y realizar las actividades de apoyo al proceso que le sean requeridas 5. Atender las demás solicitudes que realice el (la) Director (a) del el Departamento Administrativo de Gestión Jurídica Pública y supervisor relacionadas con el objeto del contrato</t>
  </si>
  <si>
    <t>Trece millones seiscientos veintiséis mil pesos m/cte</t>
  </si>
  <si>
    <t>Dos millones doscientos setenta y un mil pesos m/cte</t>
  </si>
  <si>
    <t>https://community.secop.gov.co/Public/Tendering/OpportunityDetail/Index?noticeUID=CO1.NTC.9395414&amp;isFromPublicArea=True&amp;isModal=False</t>
  </si>
  <si>
    <t>cesar-05-camilo@hotmail.com</t>
  </si>
  <si>
    <t>DIAGONAL 26 I # 96 24</t>
  </si>
  <si>
    <t>4121.010.32.1.012</t>
  </si>
  <si>
    <t>4121.010.26.1.012</t>
  </si>
  <si>
    <t>JOSÉ MAURICIO CHALACÁN GOYES</t>
  </si>
  <si>
    <t>6.646.522 de Palmira</t>
  </si>
  <si>
    <t>Bachiller académico del Instituto Las Américas, graduado el 03/07/1998</t>
  </si>
  <si>
    <t>*Desde el 20/02/18 hasta 31/07/18, 5 meses y 11 dias, en la Secretaría de Seguridad y Justicia de la Alcaldía de Santiago de Cali. *Desde el 3/08/18 hasta 31/12/18, 4 meses y 28 dias, Alcaldía de Cali. *Desde el 1/09/22 al 24/02/23 , 5 meses y 23 dias, en Seguridad Superior.* Desde el 27/02/23 al 13/08/23, 5 meses y 15 dias en ATLAS Seguridad Privada. *Desde 03/mayo/2005 hasta 10/feb/2016, 10 años, 9 meses y 7 dias, Seguridad Atlas Ltda. Total:12 años, 6 meses y 24 dìas.</t>
  </si>
  <si>
    <t>Veinticuatro (24) meses de Experiencia Laboral</t>
  </si>
  <si>
    <t>Prestación de servicios de apoyo a la gestión de las actividades administrativas y de gestión documental requeridas en el Departamento Administrativo de Gestión Jurídica Pública del Distrito Especial de Santiago de Cali.</t>
  </si>
  <si>
    <t>1. Brindar apoyo en la digitalización y organización de documentos para el archivo de gestión, siguiendo los paramentos establecidos en el instructivo de archivo de gestión y en las tablas de retención documental conforme a las normas vigentes.  2. Brindar apoyo en la entrega de la documentación generada en el Departamento Administrativo de Gestión Jurídica Pública.  3. Brindar apoyo al desarrollo de las actividades administrativas en centro de documentación y correspondencia  del Departamento Administrativo de Gestión Jurídica Pública del Distrito Especial de Santiago de Cali.4. Guardar confidencialidad respecto de la información entregada en virtud del presente contrato.  5. Atender las demás solicitudes y/o actividades que realice el (la) Director (a) del Departamento Administrativo de Gestión Jurídica Pública ó el supervisor relacionadas con el objeto del contrato.</t>
  </si>
  <si>
    <t>Dieciséis millones setecientos cincuenta y dos mil pesos m/cte</t>
  </si>
  <si>
    <t>Dos millones setecientos noventa y dos mil pesos m/cte</t>
  </si>
  <si>
    <t>https://community.secop.gov.co/Public/Tendering/OpportunityDetail/Index?noticeUID=CO1.NTC.9399013&amp;isFromPublicArea=True&amp;isModal=False</t>
  </si>
  <si>
    <t>mauronio25@hotmail.com</t>
  </si>
  <si>
    <t>CALLE 82 # 8 N 24 casa</t>
  </si>
  <si>
    <t>4121.010.32.1.013</t>
  </si>
  <si>
    <t>4121.010.26.1.013</t>
  </si>
  <si>
    <t>ÓSCAR ALFONSO MARÍN RIVERA</t>
  </si>
  <si>
    <t>11.257.431 de Fusagasugá</t>
  </si>
  <si>
    <t>Tecnólogo en Gestión Empresarial del SENA, graduado el 23/12/2013</t>
  </si>
  <si>
    <t>Desde el 10/oct/2003 al 04/Jun/2022, 18 años, 7 meses y 22 dias, en la Policía Nacional de Colombia. Total: 18 años, 7 meses y 22 dìas</t>
  </si>
  <si>
    <t>Prestación de servicios de apoyo a la gestión de las actividades administrativas y de gestión documental requeridas en el despacho del Departamento Administrativo de Gestión Jurídica Pública del Distrito Especial de Santiago de Cali.</t>
  </si>
  <si>
    <t xml:space="preserve">1. Brindar apoyo en la digitalización y organización de documentos para el archivo de gestión, siguiendo los paramentos establecidos en el instructivo de archivo de gestión y en las tablas de retención documental conforme a las normas vigentes.    2 Brindar apoyo en la entrega de la documentación generada en el Departamento Administrativo de Gestión Jurídica Pública. 3. Llevar control de las comunicaciones oficiales entregadas. 4. Mantener actualizada la documentación de los vehículos  e informar con antelación a la fecha de vencimiento para tramitar la respectiva renovación 5. Guardar confidencialidad respecto de la información entregada en virtud del presente contrato. 6. Las demás actividades que le asigne el supervisor del contrato y que se encuentren directamente relacionadas con el objeto contractual </t>
  </si>
  <si>
    <t>https://community.secop.gov.co/Public/Tendering/ContractNoticePhases/View?PPI=CO1.PPI.44446102&amp;isFromPublicArea=True&amp;isModal=False</t>
  </si>
  <si>
    <t>oscar.marin073002@gmail.com</t>
  </si>
  <si>
    <t xml:space="preserve">CALLE 59 D N  # 2 31 Los andes  </t>
  </si>
  <si>
    <t>CLAUDIA PATRICIA VARGAS OROZCO</t>
  </si>
  <si>
    <t>Subdirector de Defensa Judicial y Prevención del Daño Antijurídico</t>
  </si>
  <si>
    <t>Brindar soporte técnico, mantenimiento, desarrollo y actualización de los sistemas de información</t>
  </si>
  <si>
    <t>BP-26005460/1/02/01/04</t>
  </si>
  <si>
    <t>4121/1.2.1.0.00/2.3.2.02.02.008/63020010003/BP260054601020104</t>
  </si>
  <si>
    <t>87130_Servicios de mantenimiento y reparacion de computadores y equipos perifericos</t>
  </si>
  <si>
    <t>4121.010.32.1.014</t>
  </si>
  <si>
    <t>4121.010.26.1.014</t>
  </si>
  <si>
    <t>YESID JAVIER PIEDRAHÍTA CORREA</t>
  </si>
  <si>
    <t>16.839.817 de Jamundí</t>
  </si>
  <si>
    <t>Ingeniero(a) informático y/o afines</t>
  </si>
  <si>
    <t>Ingeniero Informático, Tecnología en Ingeniería de Sistemas</t>
  </si>
  <si>
    <t>76833192919VLL Expedida por el Consejo Profesional Nacional de Ingeniería COPNIA, el 16 de septiembre de 2010</t>
  </si>
  <si>
    <t>*Desde el 10/May/2019 hasta 27/Dic/2019, 7 Meses y 17 días, Alcaldía de Santiago de Cali, *Desde el 17/Ene/2019 Hasta 30/Abr/2019, 3 Meses y 13 días, Alcaldía de Sabtiago de Cali, * Desde el 16/Jul/2018 hasta 27/Dic/2018, 5 meses y 11 días, * Desde el 16/Ene/2018 hasta 29/Jun/2018, 5 Meses y 13 días, Alcaldía de Santiago de Cali. Total: 1 año, 9 meses y 24 días</t>
  </si>
  <si>
    <t>Prestación de servicios profesionales como ingeniero informático en el Departamento Administrativo de Gestión Pública del Distrito Especial de Santiago de Cali, especialmente en la administración de los sistemas de información en el marco del proyecto de inversión denominado "Fortalecimiento del Ciclo de Defensa Jurídica y de la Política de Mejora Normativa del Distrito Especial de Santiago de Cali" BP-26005460 "</t>
  </si>
  <si>
    <t>1.  Realizar soporte técnico a los equipos de cómputo, impresoras, equipos de digitalización y demás equipos del Departamento Administrativo de Gestión Jurídica Pública.  2. Brindar soporte técnico a los funcionarios del organismo en el manejo de los equipos y sistemas de información.  3. Brindar apoyo técnico en la preparación de informes de acuerdo con las directrices impartidas por la Dirección del Departamento Administrativo de Gestión Jurídica Pública. 4. Brindar apoyo técnico para la administración, implementación, actualización, puesta en operación y capacitación de los Sistemas de Información que utilice el organismo. 5. Realizar copias de seguridad a la base de datos de los sistemas de información que utilice el organismo, mantener una bitácora sobre los procesos de respaldo actualizado. 6. Administrar y verificar el buen funcionamiento de los servidores del Departamento Administrativo de Gestión Jurídica Pública. 7. Administrar la base de Datos de los sistemas información del Organismo. 8. Administrar y verificar el buen funcionamiento de la red de datos del Departamento Administrativo de Gestión Jurídico Público. 9. Administrar la Consola del Antivirus. 10. Reportar a DATIC información referente a los equipos tecnológicos cuando este lo requiera. 11. Administrar el directorio activo (DA) de acuerdo con las instrucciones del DATIC y los requerimientos del organismo. 12. Las demás actividades que le asigne el supervisor del contrato y que se encuentren directamente relacionadas con el objeto contractual.</t>
  </si>
  <si>
    <t>https://community.secop.gov.co/Public/Tendering/OpportunityDetail/Index?noticeUID=CO1.NTC.9398798&amp;isFromPublicArea=True&amp;isModal=False</t>
  </si>
  <si>
    <t>yjpc79@gmail.com</t>
  </si>
  <si>
    <t>CR 3 A SUR 6 119 BRR PARQUES DE CASTILLA</t>
  </si>
  <si>
    <t>4121.010.32.1.015</t>
  </si>
  <si>
    <t>4121.010.26.1.015</t>
  </si>
  <si>
    <t xml:space="preserve">ESTEFANIA MOLINA QUINTERO </t>
  </si>
  <si>
    <t xml:space="preserve">1.004.626.371 de Belén de Umbria </t>
  </si>
  <si>
    <t>8</t>
  </si>
  <si>
    <t xml:space="preserve">Técnico Laboral en Asistente Administrativo, del Instituto Técnico Sabernet S.A.S.,  graduada  el día 04 de octubre del 2024.  </t>
  </si>
  <si>
    <t>*Desde el 8/12/2018 al 20/01/2020, 1 año y 12 dias, en CARPINTURAS. *Desde el 21/03/2020 al 31/03/2020, 10 dias, Alcaldía de Santiago de Cali. *Desde el 24/04/2020 al 30/06/2020, 2 meses y 6 dias, Alcaldía de Santiago de Cali. *Desde el 15/07/2020 al 30/11/2020, 4 meses y 15 dias, Alcaldía de Santiago de Cali. *Desde el 7/12/2020 al 28/12/2020, 21 dias, Alcaldía de Santiago de Cali. *Desde el 8/02/2021 al 30/07/2021, 5 meses y 22 dias, Alcaldía de santiago de Cali.* Desde el 18/08/2021 al 31/12/2021, 4 meses y 13 dias, Alcaldía de Santiago de Cali. *Desde el 17/01/2022 al 30/06/2022, 5 meses y 13 dias en la Alcaldía de Santiago de Cali. total: 3 años, 11 meses y 10 días.</t>
  </si>
  <si>
    <t>No requiere</t>
  </si>
  <si>
    <t>Prestación de servicios de apoyo a la gestión en la Subdirección de Defensa Judicial y Prevención del Daño Antijurídico del Departamento Administrativo de Gestión Jurídica Pública del Distrito Especial de Santiago de Cali.</t>
  </si>
  <si>
    <t>1. Apoyar a la Subdirección de Defensa Judicial y Prevención del Daño Antijurídico del Departamento Administrativo de Gestión Jurídica Pública en las actuaciones y consulta, control y seguimiento del sistema de información documental, así como en las asignaciones dadas a los diferentes integrantes de los equipos de trabajo. 2. Elaborar comunicaciones oficiales, actas y demás documentos que solicite el (la) Subdirector(a) de Defensa Judicial y Prevención del Daño Antijurídico. 3. apoyar en la revision de pago de seguridad de los contratistas, 4)Atender las demás solicitudes y/o actividades que realice el (la) Director (a) del Departamento Administrativo de Gestión Jurídica Pública ó el supervisor relacionadas con el objeto del contrato.</t>
  </si>
  <si>
    <t>Diecisiete millones cuatrocientos treinta mil pesos m/cte</t>
  </si>
  <si>
    <t>Dos millones novecientos cinco mil pesos m/cte</t>
  </si>
  <si>
    <t>https://community.secop.gov.co/Public/Tendering/OpportunityDetail/Index?noticeUID=CO1.NTC.9399012&amp;isFromPublicArea=True&amp;isModal=False</t>
  </si>
  <si>
    <t>estefanimolina809@gmail.com</t>
  </si>
  <si>
    <t>CR 40 #1B-10</t>
  </si>
  <si>
    <t>4121.010.32.1.016</t>
  </si>
  <si>
    <t>4121.010.26.1.016</t>
  </si>
  <si>
    <t>LUIS CARLOS PALMA MEZA</t>
  </si>
  <si>
    <t>16.644.141 de Cali</t>
  </si>
  <si>
    <t>Administrador de Empresas, Especialista en Desarrollo Humano y Organizacional.</t>
  </si>
  <si>
    <t>6497 Expedida por el Consejo Profesional de Administración de Empresas, el dia 17 de abril de 1991</t>
  </si>
  <si>
    <t>*Desde 13/may/2019 hasta 27/dic/2019, 7 meses y 14 días, Alcaldía de Santiago de Cali, *Desde 23/ene/2019 hasta 30/abr/2019, 3 meses y 7 días, Alcaldía de Santiago de Cali, *Desde 16/jul/2018 hasta 27/dic/2018, 5 meses y 11 días, Alcaldía de Santiago de Cali *Desde 16/ene/2018 hasta 31/may/2018, 4 meses y 15 dias Alcaldía de Santiago de Cali. Total: 1 año, 8 meses y 17 días.</t>
  </si>
  <si>
    <t>Prestación de servicios profesionales como administrador de empresas en el Departamento Administrativo de Gestión Jurídica Pública, especialmente en o relacionado con las actividades de administración del talento humano y el modelo de operacion por procesos.</t>
  </si>
  <si>
    <t>1.        Brindar apoyo en la formulación, elaboración, ejecución y seguimiento a los acuerdos de gestión.  2.        Brindar apoyo al Director del Departamento Administrativo de Gestión Jurídica Pública en la elaboración de los Certificados de contratos de prestación de servicios y/o de apoyo a la gestión. 3.        Brindar apoyo en la gestión del Modelo Operativo de Procesos. 4.        Brindar apoyo en el registro de novedades de personal en el Sistema de Gestión Administrativa y Financiera Territorial (SGAFT).  5.        Brindar apoyo en el trámite de elaboración de las evaluaciones laborales de desempeño. 6.        Brindar apoyo en la elaboración de los actos administrativos de novedades administrativas del personal adscrito al Departamento Administrativo de Gestión Jurídica Pública. 7.        Apoyar en la implementación de los planes, producto de la ejecución del modelo de Gestión Jurídica Pública y el modelo de Prevención del Daño Antijurídico. 8.        Las demás actividades que le asigne el supervisor del contrato y que se encuentren directamente relacionadas con el objeto contractual.</t>
  </si>
  <si>
    <t>https://community.secop.gov.co/Public/Tendering/OpportunityDetail/Index?noticeUID=CO1.NTC.9404782&amp;isFromPublicArea=True&amp;isModal=False</t>
  </si>
  <si>
    <t>palmaluisca@hotmail.com</t>
  </si>
  <si>
    <t>CLL 14B #49-114 PISO 3</t>
  </si>
  <si>
    <t>4121.010.32.1.017</t>
  </si>
  <si>
    <t>4121.010.26.1.017</t>
  </si>
  <si>
    <t>CAMILO JOSÉ ORREGO MORALES</t>
  </si>
  <si>
    <t>71.787.416 de Medellín</t>
  </si>
  <si>
    <t>FIRMADO</t>
  </si>
  <si>
    <t>Abogado de la Universidad Pontificia Bolivariana graduado el 10/11/2000, Magister en Derecho Administrativo de la Univerisdad del Rosario graduado el 27/02/2008</t>
  </si>
  <si>
    <t>104887 del Consejo Superior de la Judicatura, expedida el 13/12/2000</t>
  </si>
  <si>
    <t>*Desde el 19/12/2012 al 7/02/2017, 4 años, 1 meses, y 16 días en VOMD Estudios de Abogados S.A.S.. *Desde el 2/02/2021 al 26/02/2024, 3 años, 0 meses, y 24 días en VOMD Estudios de Abogados S.A.S. *Desde el 14/02/2017 al 1/02/2021, 3 años, 11 meses, y 16 días en la Procuraduría General de la Nación. Total: 11 años, 1 mes y 26 días.</t>
  </si>
  <si>
    <t>Ciento ocho (108) meses de experiencia profesional relacionada</t>
  </si>
  <si>
    <t>Prestación de Servicios Profesionales como Abogado Especializado brindando soporte en las actividades de asesoria juridica desarrolladas en el Departamento Administrativo de Gestión Jurídica Pública del Distrito Especial de Santiago de Cali.</t>
  </si>
  <si>
    <t>1.        Asesorar al Departamento Administrativo de Gestión Jurídica Pública en el desarrollo de las funciones a su cargo.  2. Proyectar y revisar los actos administrativos tales como Decretos, Resoluciones Circulares, entre otros, a partir de la aplicación de las normas, jurisprudencia y doctrina; que revisten mayor complejidad asignados por el Director de Gestión Jurídica y/o supervisor. 3. Proyectar los conceptos jurídicos que deban ser firmados y aprobados por el Director del Departamento Administrativo de Gestión Jurídica Pública, a partir de la aplicación de las normas, jurisprudencia y doctrina para la gestión jurídica del Distrito de Santiago de Cali. 4. Asesorar al Departamento Administrativo de Gestión Jurídica Pública en la construcción de estrategias que permitan la optimización de los productos resultantes del proyecto de inversión. 5.  Participar cuando se convoque, en mesas de estudio, comités, y demás actividades que se realicen. 7. Atender las demás solicitudes que realice el supervisor relacionadas con el objeto del contrato.</t>
  </si>
  <si>
    <t>Setenta y cuatro millones doscientos ocho mil pesos m/cte</t>
  </si>
  <si>
    <t>Sesenta y dos millones trescientos cincuenta y nueve mil seiscientos sesenta y cuatro pesos M/cte</t>
  </si>
  <si>
    <t>Once millones ochoceintos cuarenta y ocho mil trescientos treinta y seis pesos M/cte,</t>
  </si>
  <si>
    <t>Doce millones trescientos sesenta y ocho mil pesos m/cte</t>
  </si>
  <si>
    <t>https://community.secop.gov.co/Public/Tendering/OpportunityDetail/Index?noticeUID=CO1.NTC.9538939&amp;isFromPublicArea=True&amp;isModal=False</t>
  </si>
  <si>
    <t>camilojorrego@gmail.com</t>
  </si>
  <si>
    <t>CALLE 52 A # 4 52 Dimensiones 52 Chapinero Rosales</t>
  </si>
  <si>
    <t xml:space="preserve">Director de Departamento Administrativo </t>
  </si>
  <si>
    <t>4121.010.32.1.018</t>
  </si>
  <si>
    <t>4121.010.26.1.018</t>
  </si>
  <si>
    <t>STEFANY PRIETO VERGARA</t>
  </si>
  <si>
    <t>1.193.090.589 de Santander de Quilichao.</t>
  </si>
  <si>
    <t>2</t>
  </si>
  <si>
    <t>Estudiante con aprobación de seis (6) semestres de educación superior en las modalidades de pregrado</t>
  </si>
  <si>
    <t>Bachiller académico de la Institución Educativa Instituto Técnico Santander de Quilichao-Cauca, graduada el 3/12/2019, Estudiante de la carrera Profesional en Gobierno y Relaciones Internacionales con nueve (9) semestres aprobados.</t>
  </si>
  <si>
    <t>*Desde el 07/Febrero/2025 hasta el 29/Agosto/2025,  6 meses y 22 días, en la Alcaldía de Santiago de Cali . *Desde el 25/Noviembre/2024 hasta el 30 /Diciembre/2024, 1 mes y 5 días, en la Alcaldía de Santiago de Cali.   *Desde 01/junio/2022 hasta 30/junio/2023, 1 año y 29 días, en Diacronía Estudios Sociales y Humanisticos. * Desde 15/febrero/2021 hasta 30/mayo/2022, 1 año, 3 meses y 15 días en ALMIGRAN. Total 3 años y 11 días.</t>
  </si>
  <si>
    <t>Prestación de servicios de apoyo a la gestión al Departamento Administrativo de Gestión Jurídica Pública del Distrito Especial de Santiago de Cali,  en la gestion de las actividades administrativas, elaboración de presentaciones y en el proceso de nacionalizaciones</t>
  </si>
  <si>
    <t>1. Brindar apoyo en la construcción y elaboración de las presentaciones que le sean encomendadas. 2. Brindar apoyo en los procesos de Nacionalización. 3. Brindar apoyo en el procesamiento de la información pertinente a los procesos y procedimientos que se adelanten en el Departamento Administrativo de Gestión Jurídica Pública.  4. Brindar apoyo como practicante en la ejecución de las actividades correspondientes a la implementación y sostenimiento del Modelo Integrado de Planeación y Gestión (MIPG), del modelo estándar de control interno (MECI) siguiendo los procedimientos establecidos. 5. Brindar apoyo como practicante en la ejecución de las actividades correspondientes al estudio y análisis del seguimiento al plan anticorrupción y de atención al ciudadano. 6. Brindar apoyo como practicante en la ejecución de las actividades correspondientes al uso del DARUMA, especialmente en el cargue de datos, seguimientos, monitoreos y actualizaciones de los procesos y subprocesos del Departamento Administrativo de Gestión Jurídica Pública cuando sea requerido vez que se requiera 7. Brindar apoyo como practicante en la ejecución de las actividades correspondientes a la elaboración, estructuración, modificaciones y justificaciones que se requieran por el Departamento de Planeación o Departamento de Hacienda en los documentos anexos y de justificación del proyecto de inversión inscrito por el organismo, cuando sea requerido. 8. Atender las demás solicitudes que realice el (la) Director (a) del el Departamento Administrativo de Gestión Jurídica Pública relacionadas con el objeto del contrato.</t>
  </si>
  <si>
    <t>Treinta (30) de abril del dos mil veintiseis (2026)</t>
  </si>
  <si>
    <t>Catorce millones doscientos cuatro mil pesos m/cte</t>
  </si>
  <si>
    <t>Cuatro</t>
  </si>
  <si>
    <t>https://community.secop.gov.co/Public/Tendering/OpportunityDetail/Index?noticeUID=CO1.NTC.9411656&amp;isFromPublicArea=True&amp;isModal=False</t>
  </si>
  <si>
    <t>sprietov1209@gmail.com</t>
  </si>
  <si>
    <t>CALLE 45 nO.120-85</t>
  </si>
  <si>
    <t>4121.010.32.1.019</t>
  </si>
  <si>
    <t>4121.010.26.1.019</t>
  </si>
  <si>
    <t>JAMES ALONSO PIÑEIRO CASTILLO</t>
  </si>
  <si>
    <t>1.130.586.444 de Cali</t>
  </si>
  <si>
    <t>Administrador Público de la Escuela Superior de Administración Pública ESAP, graduado el 30/09/2011</t>
  </si>
  <si>
    <t>1063484-T del Colegio Colombiano del Administrador Público, expedida el 27/11/2013</t>
  </si>
  <si>
    <t>* Desde el 5/03/2012 al 10/10/2013, 1 años, 7 meses, y 5 días, Fundación Equilibrio Social "F.E.S.",  * Desde el 1/01/2015 al 31/07/2015, 6 meses, y 30 días, Fundación para la Orientación Familiar.  *Desde el 26/08/2015 al 23/12/2015, 3 meses, y 26 días, Fundación Equilibrio Social "F.E.S." *Desde el 10/02/2016 al 30/05/2016, 3 meses, y 20 días, Secretaría de Planeación del Municipio de Francisco Pizarro.  * Desde el 5/07/2016 al 30/12/2016, 5 meses, y 25 días, Corporación para el Desarrollo Social CODES.  * Desde el 1/06/2017 al 30/12/2017, 6 meses, y 29 días, Fundación Save the Children Colombia.  * Desde el 22/01/2018 al 31/03/2018, 2 meses, y 9 días, Organización Internacional para las Migraciones OIM.   * Desde el 24/ago/2020 hasta 15/12/2020, 3 meses, y 20 días, Alcaldía de Cali Subdirección de Planificación del Territorio del Departamento Administrativo de Planeación. Total 4 años y 24 días.</t>
  </si>
  <si>
    <t>Dieciocho (18) meses de Experiencia Profesional</t>
  </si>
  <si>
    <t>Prestación de servicios profesionales como Administrador Público en las actividades administrativas y de planeación desarrolladas en el Departamento Administrativo de Gestión Jurídica Pública del Distrito Especial de Santiago de Cali.</t>
  </si>
  <si>
    <t>1. Brindar soporte en la formulación, seguimiento y evaluación de metas e indicadores. 2. Brindar soporte técnico en la elaboración,  estructuración, modificaciones  y justificaciones de los proyectos de inversión que se requieran. 3.  Apoyar en la elaboración del documento de "lineamiento de planeación" en cumplimiento de las metas del plan de desarrollo 3. Apoyar en la formulación de planes de mejoramiento, aplicando las diferentes herramientas de análisis de causas. 4.Brindar soporte articulando la revisión de los procesos que permitan el cumplimiento de los programas, planes y políticas del Departamento Administrativo de Gestión Jurídica Pública cuando se requiera. 5. Las demás actividades que le asigne el supervisor del contrato y que se encuentren directamente relacionadas con el objeto contractual.</t>
  </si>
  <si>
    <t>Veintidos millones seiscientos cincuenta y dos mil pesos m/cte</t>
  </si>
  <si>
    <t>https://community.secop.gov.co/Public/Tendering/OpportunityDetail/Index?noticeUID=CO1.NTC.9411390&amp;isFromPublicArea=True&amp;isModal=False</t>
  </si>
  <si>
    <t>james.administradorpublico@gmail.com</t>
  </si>
  <si>
    <t>N/A</t>
  </si>
  <si>
    <t>4121.010.32.1.020</t>
  </si>
  <si>
    <t>4121.010.26.1.020</t>
  </si>
  <si>
    <t>YESENIA LUCÍA VILLARREAL PUELLO</t>
  </si>
  <si>
    <t>1.130.675.027 de Cali</t>
  </si>
  <si>
    <t>Administrador de Empresas de la Universidad Abierta y a Distancia UNAD, graduada el 14/12/2019</t>
  </si>
  <si>
    <t>184.674 del Consejo Profesional de Administración de Empresas, expedida el 23/01/2024</t>
  </si>
  <si>
    <t>*Desde 14/ene/2025 hasta 12/dic/2025, 10 meses y 27 días, en Alcaldía de Santiago de Cali.*Desde 18/nov/2024 hasta 30/dic/2024, 1 mes y 11 días, en Alcaldía de Santiago de Cali.*Desde 7/may/2024 hasta 31/oct/2024, 5 meses y 24 días , en Alcaldía de Santiago de Cali.*Desde el 30/ene/2024 hasta 30/abr/2024, 3 meses, Alcaldía de Santiago de Cali. * Desde 14/dic/2019 hasta el 19/ene/2024, 4 años, 1 meses y 5 dias, en Universidad de San Buenaventura Cali. Total: 5 años, 10 meses y 7 días</t>
  </si>
  <si>
    <t>Prestación de servicios profesionales como administradora de empresas, brindando soporte en las actividades administrativas y de gestión desarrolladas en el Departamento Administrativo de Gestión Jurídica Pública del Distrito Especial de Santiago de Cali.</t>
  </si>
  <si>
    <t xml:space="preserve">1.Brindar apoyo en la formulación, elaboración, ejecución y seguimiento del plan anticorrupción y de atención al ciudadano, mapa de riesgos del proceso, estrategia de rendición de cuentas. 2. Brindar apoyo en la atención de las diferentes auditorías realizadas por los Entes de Control y Control Interno. 3.Brindar apoyo en la formulación, ejecución y seguimiento de los Planes de Mejoramiento.  4.Brindar apoyo en la formulación, elaboración y Seguimiento a los Planes de trabajo de la Subdirección de Defensa Judicial y Prevención de Daño Antijurídico y la Subdirección de Doctrina y Asuntos Normativos. 5. Brindar apoyo en la implementación y sostenimiento del Modelo Integrado de Planeación y Gestión (MIPG), del modelo estándar de control interno (MECI) siguiendo los procedimientos establecidos. 6.Brindar apoyo en el uso del DARUMA, especialmente en el cargue de datos, seguimientos, monitoreos y actualizaciones de los procesos y subprocesos del Departamento Administrativo de Gestión Jurídica Pública cada vez que se requiera.7. Apoyar en la implementación de los planes, producto de la ejecución del modelo de Gestión Jurídica Pública y el modelo de Prevención del Daño Antijurídico. 8. Brindar apoyo en el desarrollo de las actividades requeridas que permitan el fortalecimiento del Sistema de Gestión de Seguridad y Salud en el Trabajo 9. Las demás actividades que le asigne el supervisor del contrato y que se encuentren directamente relacionadas con el objeto contractual.
</t>
  </si>
  <si>
    <t>https://community.secop.gov.co/Public/Tendering/OpportunityDetail/Index?noticeUID=CO1.NTC.9411763&amp;isFromPublicArea=True&amp;isModal=False</t>
  </si>
  <si>
    <t>yese.villarreal@hotmail.com</t>
  </si>
  <si>
    <t>CARRERA 83 E # 53 A 33 Apartamento 201 torre D</t>
  </si>
  <si>
    <t>4121.010.32.1.021</t>
  </si>
  <si>
    <t>4121.010.26.1.021</t>
  </si>
  <si>
    <t xml:space="preserve">SAIRA MAGALI ORTIZ DÍAZ </t>
  </si>
  <si>
    <t>41.109.849 de Orito</t>
  </si>
  <si>
    <t>Administrador de negocios de la Universidad San Buenaventura, graduada el 25/08/2022</t>
  </si>
  <si>
    <t>184.416 del Consejo Profesional de Administración de Empresas, expedida el 29/01/2024</t>
  </si>
  <si>
    <t>*Desde 17/ene/2025 hasta 12/dic/2025, 10 meses y 24 días , en Alcaldía de Santiago de Cali.*Desde 16/feb/2024 hasta 30/abr/2024, 2 meses y 3 días, en Alcaldía de Santiago de Cali.*Desde 7/may/2024 hasta 31/oct/2024, 5 meses y 24 días , en Alcaldía de Santiago de Cali.*Desde el 18/oct/2022 al 06/dic/2023, 1 año, 1 mes y 16 dias, en la Universidad San Buenaventura. Total: 2 años,  8 meses y  7 dìas.</t>
  </si>
  <si>
    <t>Doce (12) meses de Experiencia Profesional</t>
  </si>
  <si>
    <t>Prestación de Servicios Profesionales para el desarrollo de actividades relacionadas con el modelo integrado - MIPG- y seguimiento del plan de trabajo de la Subdirección de Defensa Judicial y Prevención del Daño Antijurídico Departamento Administrativo de Gestión Jurídica Pública del Distrito de Santiago de Cali.</t>
  </si>
  <si>
    <t>1.Apoyar en la construcción y modelación de los procedimientos que se requieran en la Subdirección de Defensa Judicial y Prevención del Daño Antijurídico. 2.Apoyar en la implementación y seguimiento de los planes de mejoramiento y de trabajo de la Subdirección de Defensa Judicial y Prevención del Daño Antijurídico, relacionados con el modelo de Gestión Jurídica Pública, el modelo de Prevención del Daño Antijurídico y las políticas de prevención del daño antijurídico. 3. Brindar apoyo en la implementación, sostenimiento y seguimiento del Modelo Integrado de Planeación y Gestión (MIPG), del modelo estándar de control interno (MECI) siguiendo los procedimientos establecidos, en lo relacionado con la Política de Defensa Jurídica. 4. Apoyar en la consolidación de las herramientas de control tales como: Políticas operativas, seguimiento al mapa de riesgos, Indicadores y  Plan de control. 5. Apoyar en la elaboración de actas de reunion de seguimiento y de ejecución de actividades concernientes a la Subdirección de Defensa y Prevención del Daño Antijurídico. 6. Las demás actividades que le asigne el supervisor del contrato y que se encuentren directamente relacionadas con el objeto contractual.</t>
  </si>
  <si>
    <t>https://community.secop.gov.co/Public/Tendering/OpportunityDetail/Index?noticeUID=CO1.NTC.9413676&amp;isFromPublicArea=True&amp;isModal=False</t>
  </si>
  <si>
    <t>sahiraor83@gmail.com</t>
  </si>
  <si>
    <t>CARRERA 75 N # 10 A 132 CUIDAD CAPRI</t>
  </si>
  <si>
    <t>4121.010.32.1.022</t>
  </si>
  <si>
    <t>4121.010.26.1.022</t>
  </si>
  <si>
    <t>MAURICIO ANDRÉS CERÓN ORTEGA</t>
  </si>
  <si>
    <t>94.527.705 de Cali</t>
  </si>
  <si>
    <t>Técnico laboral por Competencias en Asistencia Administrativa</t>
  </si>
  <si>
    <t>*Desde26/jul/2022 hasta 30/dic/2022, 5 meses y 4 días Alcaldía de Santiago de Cali. *Desde 18/ene/2022 hasta 30/jun/2022, 5 meses y 12 días, Alcaldía de Santiago de Cali.  Desde *13/ago/2021 hasta 31/dic/2021, 4 meses y 18 días, Alcaldía de Santiago de Cali. Total: 1 año,  3 meses y 4 días.</t>
  </si>
  <si>
    <t>Prestación de servicios de apoyo a la gestión en el seguimiento a las actuaciones judiciales notificadas al Departamento Administrativo de Gestión Jurídica Pública del Distrito Especial de Santiago de Cali</t>
  </si>
  <si>
    <t>1. Brindar apoyo en la Subdirección de Defensa Judicial y Prevención del Daño Antijurídico en lo relacionado con la debida y oportuna notificación a los apoderados y organismos de la Administración Distrital, de las actuaciones prejudiciales, judiciales y administrativas en las que sea parte o tenga interés el Distrito Especial de Santiago de Cali, recibidas a través del buzón electrónico de la entidad. 2. Alimentar oportuna y permanentemente en el sistema de información de registro, control y seguimiento de procesos, todas las actuaciones judiciales y administrativas notificadas a través del buzón electrónico de la Entidad.  Lo anterior, a efectos de conformar el expediente físico o virtual a que se refiere la Ley 2213 del 13 de junio de 2022, por parte del Apoderado Judicial. 3. Efectuar el registro diario en el archivo Excel compartido por DRIVE de las demandas admitidas y solicitudes de conciliación extrajudicial notificadas a través del buzón electrónico de la Entidad, para continuar el proceso de creación y reparto. Así mismo, registrar las sentencias adversas, para ser notificadas al apoderado judicial y para ser incorporadas a la Agenda Semanal. 4. Brindar apoyo en la gestión de defensa judicial de los apoderados mediante el envío de los escritos, pruebas y demás piezas procesales ante las autoridades jurisdiccionales y administrativas competentes, a través del correo electrónico institucional destinado para tal fin.  5. Las demás actividades que le asigne el supervisor del contrato y que se encuentren directamente relacionadas con el objeto contractual.</t>
  </si>
  <si>
    <t>https://community.secop.gov.co/Public/Tendering/OpportunityDetail/Index?noticeUID=CO1.NTC.9413851&amp;isFromPublicArea=True&amp;isModal=False</t>
  </si>
  <si>
    <t>maoricio.or1979@gmail.com</t>
  </si>
  <si>
    <t>CARRERA 1 J # 69 41 CASA</t>
  </si>
  <si>
    <t>4121.010.32.1.023</t>
  </si>
  <si>
    <t>4121.010.26.1.023</t>
  </si>
  <si>
    <t>JOSÉ MANUEL ARELLANO SIERRA</t>
  </si>
  <si>
    <t>16.797.949 de Cali</t>
  </si>
  <si>
    <t>Contador (a) con Título de posgrado</t>
  </si>
  <si>
    <t>Contador Público de la Universidad del Valle graduado el 11/06/2005, Especialista en Finanzas de la Universidad del Valle graduado el 16/11/2013</t>
  </si>
  <si>
    <t>113116-T de la Junta Central de Contadores, expedida el 29/09/2005</t>
  </si>
  <si>
    <t>*Desde el 1/01/2014 al 31/01/2015, 1 años y 30 días en Compañia de Transportes LA MIRANDA. *Desde el 12/12/2016 al 30/10/2018, 1 año, 10 meses y 18 días en WM IMPRESORES S.A. *Desde 21/ago/2006 hasta 31/dic/201 3 , 7 años, 4 meses y 10 días , en Palmas la Miranda S.A.S. Total: 10 años, 3 meses y 27 días</t>
  </si>
  <si>
    <t>Treinta y seis (36) meses de Experiencia Profesional</t>
  </si>
  <si>
    <t>Prestación de servicios profesionales especializados, brindando soporte a las actividades que deba realizar el Departamento Administrativo de Gestión Jurídica Pública con relación al contigente judicial</t>
  </si>
  <si>
    <t>1.Brindar apoyo en la realización del cálculo de la provisión contable y en la actualización del contingente judicial a cargo de los apoderados judiciales de los distintos Organismos que conforman el Distrito Especial de Santiago de Cali, inherente a las conciliaciones prejudiciales, los procesos judiciales y laudos arbitrales donde es parte la Entidad, utilizando la Metodología expedida por la Agencia Nacional de Defensa Jurídica del Estado (ANDJE) y conforme lo establecido en el Modelo de Gerencia Jurídica de la Entidad; así como en las demás normas que los modifiquen o complementen. 2. Hacer seguimiento en el Sistema de Información de Procesos Judiciales de la Entidad, a la calificación del contingente judicial, acorde a la Metodología dispuesta por la Agencia Nacional de Defensa Jurídica del Estado (ANDJE). 3.Reportar ante la Subdirección de Defensa Judicial y Prevención del Daño Antijurídico, las inconsistencias encontradas a la calificación del contingente judicial en el sistema de información de procesos judiciales del Departamento Administrativo de Gestión Jurídica Pública, para determinar su ajuste conjuntamente con el apoderado. 4. Realizar informe que consolide la información mensual relacionada con la valoración del contingente, de las conciliaciones prejudiciales, los procesos judiciales y laudos arbitrales registrados en el Sistema de Información de Procesos Judiciales del Departamento Administrativo de Gestión Jurídica Pública, que documente las cantidades de procesos calificados y pendientes por calificar. 5. Apoyar en la elaboración y revisión del informe de contingentes y pasivos judiciales que se remite mensualmente al Departamento Administrativo de Hacienda. 6..Brindar apoyo a la Subdirección de Defensa Judicial y Prevención del Daño Antijuridico del Departamento Administrativo de Gestión Jurídica Pública en la consolidación del informe de análisis del contingente judicial del Distrito Especia 7.Las demás actividades que le asigne el supervisor del contrato y que se encuentren directamente relacionadas con el objeto contractual.</t>
  </si>
  <si>
    <t>Veintiocho millones ciento cuarenta y cuatro mil pesos m/cte</t>
  </si>
  <si>
    <t>Siete millones treinta y seis mil pesos m/cte</t>
  </si>
  <si>
    <t>https://community.secop.gov.co/Public/Tendering/OpportunityDetail/Index?noticeUID=CO1.NTC.9413856&amp;isFromPublicArea=True&amp;isModal=False</t>
  </si>
  <si>
    <t>josearesierra@gmail.com</t>
  </si>
  <si>
    <t>CRA 41E #40-31</t>
  </si>
  <si>
    <t>4121.010.32.1.024</t>
  </si>
  <si>
    <t>4121.010.26.1.024</t>
  </si>
  <si>
    <t>YESICA SÁNCHEZ GUTIÉRREZ</t>
  </si>
  <si>
    <t>1.144.028.165 de Cali</t>
  </si>
  <si>
    <t>Contador (a) Titulado (a)</t>
  </si>
  <si>
    <t>Contador Público de la Universidad Libre, graduada el 28/04/2017</t>
  </si>
  <si>
    <t>229462-T de la Junta Central de Contadores, expedida el 16/06/2017</t>
  </si>
  <si>
    <t>*Desde el 20/nov/2024 al 30/dic/2024, 1 meses, y 11 días, en la Alcaldía de Santiago de Cali - DEPARTAMENTO ADMINISTRATIVO DE GESTIÓN JURÍDICA PÚBLICA. *Desde el 02/jul/2024 al 31/oct/2024, 3 meses, y 29 días, en la Alcaldía de Santiago de Cali - DEPARTAMENTO ADMINISTRATIVO DE GESTIÓN JURÍDICA PÚBLICA. * Desde el 30/jun/2017 al 30/jun/2024, 7 años y 11 meses, en la Fundación6para el desarrollo social FUNDESA. Total: 8 años, 4 meses y 10 días.</t>
  </si>
  <si>
    <t>Prestación de servicios profesionales, brindando soporte a las actividades que deba realizar el Departamento Administrativo de Gestión Jurídica Pública con relación al contigente judicial</t>
  </si>
  <si>
    <t>1. Brindar apoyo en la realización del cálculo de la provisión contable y en la actualización del contingente judicial a cargo de los apoderados judiciales de los distintos Organismos que conforman el Distrito Especial de Santiago de Cali, inherente a las conciliaciones prejudiciales, los procesos judiciales y tramites arbitrales donde es parte la Entidad, utilizando la Metodología expedida por la Agencia Nacional de Defensa Jurídica del Estado (ANDJE) y conforme lo establecido en el Modelo de Gerencia Jurídica de la Entidad; así como en las demás normas que los modifiquen o complementen. 2. Brindar apoyo alimentado base de datos de conciliaciones prejudiciales, procesos judiciales y tramites arbitrales en proceso de calificación del contingente judicial. 3.Reportar a la Subdirección de Defensa Judicial y Prevención del Daño Antijurídico, las inconsistencias encontradas en conciliaciones prejudiciales, procesos judiciales y tramites arbitrales, relacionadas con el contingente judicial en el sistema de información de procesos judiciales del Departamento Administrativo de Gestión Jurídica Pública, para determinar su ajuste conjuntamente con el apoderado. 4. Brindar apoyo consolidando la información para el informe de contingentes y pasivos judiciales que se remite mensualmente al Departamento Administrativo de Hacienda. 5) Realizar informe que consolide la información mensual relacionada con la valoración del contingente, de las conciliaciones prejudiciales, los procesos judiciales y laudos arbitrales registrados en el Sistema de Información de Procesos Judiciales del Departamento Administrativo de Gestión Jurídica Pública, que documente las cantidades de procesos calificados y pendientes por calificar. 6) Brindar apoyo al Departamento Administrativo de Gestión Jurídica Pública en la revisión de los documentos allegados por los solicitantes necesarios para el trámite de pago de sentencias, laudos arbitrales, conciliaciones y costas que deba realizar el Distrito Especial de Santiago de Cali, de conformidad con las competencias señaladas dentro de los procedimientos establecidos por la entidad y realizar los requerimientos a los solicitantes, cuando sea necesario, así como elaboración de los oficios correspondientes para que se efectué el pago 7. Brindar apoyo al Departamento Administrativo de Gestión Jurídica Pública en la elaboración o revisión de los documentos necesarios para el trámite del pago de sentencias, laudos arbitrales, conciliaciones y costas a favor o en contra del Distrito Especial de Santiago de Cali., que se deban realizar de oficio conforme a lo establecido en las normas legales vigentes. 8. Brindar apoyo en la elaboración y diligenciamiento del informe en formato excel en el que se consigne mensualmente la información sobre los trámites de pagos de sentencias, laudos arbitrales, conciliaciones y costas judiciales que haya adelantado, conforme a las funciones y competencias del Departamento Administrativo de Gestión Jurídica Pública. 9. Proyectar los oficios que el Departamento Administrativo de Gestión Jurídica Pública mensualmente envie a la Secretaría de Educación, el Departamento Administrativo de Desarrollo e Innovación Institucional y el Departamento Administrativo de Hacienda con relación a los pagos de sentencias, laudos y conciliaciones a cargo del Distrito Especial de Santiago de Cali. 10. Las demás actividades que le asigne el supervisor del contrato y que se encuentren relacionadas con el objeto del mismo.</t>
  </si>
  <si>
    <t>https://community.secop.gov.co/Public/Tendering/OpportunityDetail/Index?noticeUID=CO1.NTC.9418629&amp;isFromPublicArea=True&amp;isModal=False</t>
  </si>
  <si>
    <t>yesicasanchez20@hotmail.com</t>
  </si>
  <si>
    <t>CRA 73 #45A-109</t>
  </si>
  <si>
    <t>4121.010.32.1.025</t>
  </si>
  <si>
    <t>4121.010.26.1.025</t>
  </si>
  <si>
    <t>MAUREN IVETTE SÁNCHEZ HERNÁNDEZ</t>
  </si>
  <si>
    <t>31.711.070 de Cali</t>
  </si>
  <si>
    <t>Bachiller del Instituto Técnico Willme, graduada el 04/10/2003</t>
  </si>
  <si>
    <t>Desde *27/abr/2020 hasta 30/jun/2020, 2 meses y 3 dias, Alcaldía de Santiago de Cali *Desde14/may/2019 hasta 27/dic/2019, 7 meses y 13 días, Alcaldía de Santiago de Cali, *Desde 21/ene/2019 hasta 30/abr/2019, 3 meses y 9 días, Alcaldía de Santiago de Cali, 27/jul/2018 hasta 27/dic/2018, 5 meses, Alcaldía de Santiago de Cali. *Desde 24/ene/2018 hasta 18/jun/2018, 4 meses, y 23 días, Alcaldía de Santiago de Cali, *Desde 20/nov/2017 hasta 29/dic/2017, 1 mes y 9 días, Alcaldía de Santiago de Cali, *Desde 1/feb/2015 hasta 10/nov/2017, 2 años, 9 meses, y 9 días, NOVATEXFIL S.A. Toal: 4 años, 9 meses y  6 días.</t>
  </si>
  <si>
    <t>Prestación de servicios de apoyo a la gestión en el archivo del Departamento Administrativo de Gestión Jurídica Pública del Distrito Especial de Santiago de Cali.</t>
  </si>
  <si>
    <t xml:space="preserve">1.        Apoyar en el control, seguimiento y custodia del acervo documental a cargo. 2.        Escanear, depurar, organizar, foliar, encarpetar la documentación del archivo de gestión de acuerdo con el procedimiento de gestión documental  y la TRD . 3.        Diligenciar los diferentes formatos del  proceso de gestión documental del archivo de gestión de acuerdo con la TRD de la entidad  4.   Atender las demás solicitudes y/o actividades que realice el (la) Director (a) del Departamento Administrativo de Gestión Jurídica Pública ó el supervisor relacionadas con el objeto del contrato.
</t>
  </si>
  <si>
    <t>https://community.secop.gov.co/Public/Tendering/OpportunityDetail/Index?noticeUID=CO1.NTC.9418650&amp;isFromPublicArea=True&amp;isModal=False</t>
  </si>
  <si>
    <t>misanchez07@misena.edu.co</t>
  </si>
  <si>
    <t>CARRERA 27 A # 44 10 CASA</t>
  </si>
  <si>
    <t>4121.010.32.1.026</t>
  </si>
  <si>
    <t>4121.010.26.1.026</t>
  </si>
  <si>
    <t>ADOLFO LEÓN PÉREZ REINA</t>
  </si>
  <si>
    <t>94.553.153 de Cali</t>
  </si>
  <si>
    <t>Bachiller Academico Enfasis en Ciencias Naturales, Estudiante de Derecho cursando Décimo semestre</t>
  </si>
  <si>
    <t>*Desde 01/ene/2018 hasta el 31/dic/2019, 2 años, en B.G.R.S.A.S. JUAN CARLOS BOLIVAR. Total 2 años.</t>
  </si>
  <si>
    <t>Prestación de servicios de apoyo a la gestión en el seguimiento a las actuaciones judiciales notificadas al Departamento Administrativo de Gestión Jurídica Pública del Distrito Especial de Santiago de Cali.</t>
  </si>
  <si>
    <t>1.Apoyar en la digitalización, cargue y actualización en el sistema de información de procesos judiciales, los documentos inherentes a las actuaciones judiciales diarias que sean notificadas a la entidad través de los estados judiciales. 2. Apoyar en el seguimiento y remisión de información a los equipos de trabajo de la Subdirección de Defensa Judicial y Prevención del Daño Antijurídico, de la información relacionada con las actuaciones realizadas por los diferentes despachos judiciales. 3. Apoyar en las actividades de depuración del aplicativo de sistema de información de procesos judiciales del Departamento Administrativo de Gestión Jurídica Pública. 4. Apoyar en el suministro de información para la realización de la agenda semanal de las actuaciones judiciales notificadas en estados judiciales por parte de los diferentes despachos judiciales. 5. Apoyar en la elaboracion de requerir a los apoderados los informes previos al comite de conciliacion, 6. Apoyar en identificar a que porcesos judiciales y extrajudiciales se encuentran sin poder actualizado. 7. Las demás actividades que le asigne el supervisor del contrato y que se encuentren directamente relacionadas con el objeto contractual</t>
  </si>
  <si>
    <t>https://community.secop.gov.co/Public/Tendering/OpportunityDetail/Index?noticeUID=CO1.NTC.9508801&amp;isFromPublicArea=True&amp;isModal=False</t>
  </si>
  <si>
    <t>adolf_182@hotmail.com</t>
  </si>
  <si>
    <t>CARRERA 83 B # 42 60 apartamento A 303</t>
  </si>
  <si>
    <t>4121.010.32.1.027</t>
  </si>
  <si>
    <t>4121.010.26.1.027</t>
  </si>
  <si>
    <t>BEATRIZ EUGENIA ARENAS</t>
  </si>
  <si>
    <t>38.878.571 de Buga</t>
  </si>
  <si>
    <t>Título de Bachiller</t>
  </si>
  <si>
    <t>Bachiller acdémico del Colegio Santa Mariana de Jesús, graduada el 08/07/1994</t>
  </si>
  <si>
    <t>Desde el 02/05/1995 al 30/07/2019, 24 años, 2 meses, y 28 días, en Jorge Eduardo Guzman Piedrahita Abogado.      Total: 24 años, 2 meses y 28 días.</t>
  </si>
  <si>
    <t>Prestación de servicios de apoyo a la gestión en la digitación y creación de acciones constitucionales dentro del aplicativo del sistema de información de procesos judiciales del Departamento Administrativo de Gestión Jurídica Pública del Distrito Especial de Santiago de Cali.</t>
  </si>
  <si>
    <t>1. Apoyar en la digitación y creación en el aplicativo del sistema de información de procesos judiciales del Departamento Administrativo de Gestión Jurídica Pública de las acciones constitucionales que le fueran notificadas al organismo. 2. Apoyar en la digitalización, cargue y actualización en el sistema de información de procesos judiciales del Departamento Administrativo de Gestión Jurídica Pública, los documentos inherentes a las actuaciones  constitucionales que le fueran notificadas al organismo. 3. Apoyar en la asignación de acciones constitucionales dentro del sistemas de información de procesos judiciales del Departamento Administrativo de Gestión Jurídica Pública. 4. Las demás actividades que le asigne el supervisor del contrato y que se encuentren directamente relacionadas con el objeto contractual.</t>
  </si>
  <si>
    <t>https://community.secop.gov.co/Public/Tendering/OpportunityDetail/Index?noticeUID=CO1.NTC.9433544&amp;isFromPublicArea=True&amp;isModal=False</t>
  </si>
  <si>
    <t>betyar715@hotmail.com</t>
  </si>
  <si>
    <t>AVENIDA 2 B BIS # 72 N 18 AV 2 B2 #72n-18</t>
  </si>
  <si>
    <t>4121.010.32.1.028</t>
  </si>
  <si>
    <t>4121.010.26.1.028</t>
  </si>
  <si>
    <t xml:space="preserve">HUMBERTO VELÁSCO SOLANO </t>
  </si>
  <si>
    <t>6.106.276 de Cali</t>
  </si>
  <si>
    <t>Abogado de la Universidad San Buenaventura graduado el 15/abr/2005,  Especialista en Derecho Laboral de la Universidad Libre graduado el 28/abr/2008</t>
  </si>
  <si>
    <t>139599 del Consejo Superior de la Judicatura, expedida el 16/may/2005</t>
  </si>
  <si>
    <t>*Desde 01/abr/1999 hasta 18/jun/2024, 25 años, 2 meses, y 17 días, en Jaramillo &amp; Asociados Abogados. * Desde 14/may/2020 hasta 15/dic/2020, 7 meses, y 1 días en Alcaldía de Palmira. * Desde 21/ene/2021 hasta 31/jun/2021, 5 meses, y 9 días en Alcaldía de Palmira. Total 26 años, 2 meses y 27 días.</t>
  </si>
  <si>
    <t>Prestación de servicios profesionales como Abogado  especializado llevando a cabo actividades de representación judicial para el Departamento Administrativo de Gestión Jurídica Pública.</t>
  </si>
  <si>
    <t xml:space="preserve">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Asistir a las jornadas de socialización, mesas técnicas, mesas de estudio y comités de fortalecimiento a los que sea convocado. 
5. Proyectar los conceptos jurídicos, requerimientos y respuestas a solicitudes o peticiones que le sean asignados con relación a los procesos prejudiciales o judiciales donde el Distrito Especial de Santiago de Cali se encuentre vinculado
6.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
</t>
  </si>
  <si>
    <t>Cuarenta y dos millones doscientos dieciséis mil pesos m/cte</t>
  </si>
  <si>
    <t>https://community.secop.gov.co/Public/Tendering/OpportunityDetail/Index?noticeUID=CO1.NTC.9421904&amp;isFromPublicArea=True&amp;isModal=False</t>
  </si>
  <si>
    <t>hvelasco@jaramilloasociados.com</t>
  </si>
  <si>
    <t>4121.010.32.1.029</t>
  </si>
  <si>
    <t>4121.010.26.1.029</t>
  </si>
  <si>
    <t xml:space="preserve">JULIÁN FELIPE GONZÁLEZ LEMA </t>
  </si>
  <si>
    <t>94.521.207 de Cali</t>
  </si>
  <si>
    <t>Comunicador (a) Social - Periodista  con título de posgrado</t>
  </si>
  <si>
    <t xml:space="preserve">Comunicador Social - Periodista de la Universidad del Valle graduado el 03/dic/2004, Especialista en Comunicación Estratégica de la Universidad Autónoma de Occidente graduado el 04/may/2024. </t>
  </si>
  <si>
    <t>*Desde 01/ago/2016 hasta 31/dic/2017, 1 año, 4 meses, y 30 días, en Verzión 360° *Desde  01/feb/2018 hasta 18/mar/2019, 1 año, 1 meses y 17 días, en Matisa S.A.S. *Desde 01/abr/2019 hasta 31/jul/2020, 1 año, 3 meses y 30 días,  en Verzión 360°. *Desde 23/jul/2022 hasta 30/dic/2022,  5 meses y 7 días, en Alcaldía de Palmira. * Desde 22/ene/2021 hasta 30/jun/2021,   5 meses y 8 días en Concejo Santiago de Cali. * Desde 12/jul/2021 hasta 31/dic/2021,   5 meses y 19 días   en Concejo Santiago de Cali. Total: 5 años,  2 meses y 21  días.</t>
  </si>
  <si>
    <t>Prestación de servicios profesionales como Comunicador Social especializado,  brindando soporte en las actividades desarrolladas en el Departamento Administrativo de Gestión Jurídica Pública del Distrito Especial de Santiago de Cali.</t>
  </si>
  <si>
    <t xml:space="preserve">1. Brindar apoyo al Departamento, desde su área del conocimiento en la elaboración de boletines informativos, boletín de relatoría jurídica y comunicación organizacional del organismo y demás contenidos que desarrolle el organismo.  2.Brindar apoyo al Departamento, desde su área del conocimiento, en las actividades correspondientes al seguimiento del cumplimiento del Plan anticorrupción y de atención al Ciudadano, especialmente en la estrategia de Rendición de Cuentas, datos abiertos, ley de transparencia y de acceso a la información pública. 3. Brindar apoyo al Departamento, desde su área del conocimiento, en la elaboración de las diferentes presentaciones que deba realizar el Organismo. 4. Brindar apoyo en la elaboración de piezas comunicativas como publicaciones, afiches, plegables, cartillas, contenidos digitales, tapices, entre otros, que sean necesarios para difundir las actividades de gestión desarrolladas por el Departamento Administrativo de Gestión Jurídica Publica. 5. Brindar apoyo en el monitoreo de medios de las diferentes páginas oficiales de comunicaciones y medios tradicionales con el fin de hacer monitoreo de las noticias locales que afecten a la administración.6.  Participar activamente en los eventos o actividades internas o externas organizadas por el Departamento, así como por la Administración Municipal y sus organismos según sean asignados, Presentando el cubrimiento comunicativo respectivo. 7.  Brindar apoyo en la asesoría y acompañamiento a la Dirección y Subdirecciones del organismo cuando estos participen como voceros de la Administración en busca de facilitar el contacto con los medios y los ciudadanos. 8. Formular y gestionar estrategias de comunicación que permitan al Organismo interactuar de manera eficaz con nuestros grupos de valor. 9. Toda las actividades de apoyo a la gestión antes descritas deberán desarrollarse atendiendo el Reglamento de Protocolo, Honores, Distinciones, Símbolos y Usos; así como el Manual de Proceso Comunicación Pública del Distrito Especial de Santiago de Cali, utilizando un lenguaje claro, comprensible, moderando de manera que el discurso no se torne pesado y robusto y sea accesible al cliente interno y externo. 10. Las demás actividades que le asigne el supervisor del contrato y que se encuentren directamente relacionadas con el objeto contractual."
</t>
  </si>
  <si>
    <t>https://community.secop.gov.co/Public/Tendering/OpportunityDetail/Index?noticeUID=CO1.NTC.9421757&amp;isFromPublicArea=True&amp;isModal=False</t>
  </si>
  <si>
    <t>juliangonzalezlema@gmail.com</t>
  </si>
  <si>
    <t>4121.010.32.1.030</t>
  </si>
  <si>
    <t>4121.010.26.1.030</t>
  </si>
  <si>
    <t>OSCAR YESID GUZMÁN CALVACHE</t>
  </si>
  <si>
    <t>1.061.733.208 de Popayan</t>
  </si>
  <si>
    <t>Abogado de la Universidad del Cauca graduado el 19/12/2012, Especialista en Derecho Administrativo de la Universidad Externado de Colombia graduado el 09/03/2017</t>
  </si>
  <si>
    <t>226549 del Consejo Superior de la Judicatura, expedida el 28/feb/2013</t>
  </si>
  <si>
    <t>Desde el 28/feb/2013 al 6/may/2016, 3 años, 2 meses, y 4 días en WEIMAN LÚDER GUZMÁN CALVACHE Ser - Jurídicos Especializados. *Desde el 13/may/2016 al 31/ago/2016, 3 meses y 15 días en ALCALDÍA DE POPAYÁN. *Desde el 12/sept/2016 al 31/dic/2016, 3 meses y 19 días en ALCALDÍA DE POPAYÁN. *Desde el 1/feb/2017 al 31/may/2017, 4 meses en ALCALDÍA DE POPAYÁN. *Desde el 24/ene/2018 al 25/jul/2018, 6 meses, SECRETARÍA DE INFRAESTRUCTURA - GOBERNACIÓN DEL CAUCA. *Desde el 31/jul/2018 al 31/dic/2018, 5 meses, SECRETARÍA DE INFRAESTRUCTURA - GOBERNACIÓN DEL CAUCA. *Desde el 08/ene/2019 al 01/jun/2019, 4 meses y 22 días, SECRETARÍA DE INFRAESTRUCTURA - GOBERNACIÓN DEL CAUCA. *Desde el 12/jun/2019 al 29/oct/2019, 4 meses y 17 días, SECRETARÍA DE INFRAESTRUCTURA - GOBERNACIÓN DEL CAUCA. *Desde el 18 de junio de 2019 al 31 de diciembre de 2019, 2 meses. GOBERNACIÓN DEL VALLE DEL CAUCA. *Desde el 20 de febrero de 2020 al 30 de diciembre de 2020, 10 meses y 10 días, ESCUELA SUPERIOR DE ADMINISTRACIÓN PÚBLICA TERRITORIAL CAUCA. *Desde del 26/ene/2021 al 1/jul/2021, 5 meses y 29 dias, MUNICIPIO DE CORINTO CAUCA. *Desde del 11/ene/2022 al 1/sep/2022, 7 meses y 19 dias, MUNICIPIO DE CORINTO CAUCA. *Desde el 25/ene/2022 al 31/dic/2022, 3 meses, Alcaldía MUNICIPAL DE SAN SEBASTIAN-CAUCA *Desde el 2/may/2023 al 15/sep/2023, 4 meses y 13 dias, MUNICIPIO DE PIENDAMÓ - TUNÍA CAUCA. *Desde el 1/jul/2023 al 30/dic/2023,3 meses, MUNICIPIO DE PIENDAMÓ - TUNÍA . Total: 8 años, 9 meses y 28 dìas.</t>
  </si>
  <si>
    <t>Prestación de servicios profesionales como abogado especializado, en la Subdirección de Doctrina y Asuntos Normativos del Departamento Administrativo de Gestión Jurídica Pública del Distrito de Santiago de Cali, con el fin de fortalecer la seguridad jurídica dentro del marco regulatorio de los actos administrativos y documentos que deban ser sancionados o suscritos por el Alcalde Distrital de Santiago de Cali, en el marco del proyecto de inversión denominado "Fortalecimiento del Ciclo de Defensa Jurídica y de la Política de Mejora Normativa del Distrito Especial de Santiago de Cali" BP-26005460 "</t>
  </si>
  <si>
    <t>1. Proyectar y revisar los actos administrativos tales como Decretos, Resoluciones, Circulares entre otros, a partir de la aplicación de las normas, jurisprudencia y doctrina; asignados por el Director de Gestión Jurídica y/o supervisor.
 2. Revisar los documentos desde su dimensión legal que deban ser sancionados o suscritos por el Alcalde Municipal, asignados por el supervisor y sin perjuicio de la aprobación técnico- jurídica, presupuestal que deban impartir los jefes de los organismos municipales.
 3. Apoyar en la revisión de los proyectos de acuerdo, así como revisar y conceptuar, previo a la sanción del Alcalde, sobre la legalidad de los proyectos de Acuerdo aprobados por el Concejo, que deban ser viabilizados jurídicamente por del Departamento Administrativo de Gestión Jurídica Pública.
 4.Proyectar los conceptos jurídicos que deban ser firmados y aprobados por el Director del Departamento Administrativo de Gestión Jurídica Pública, a partir de la aplicación de las normas, jurisprudencia y doctrina para la gestión jurídica del Distrito de Santiago de Cali. 
 5. Proyectar las respuestas desde la dimensión legal a las peticiones (PQRD) radicadas ante la Subdirección de Doctrina y Asuntos Normativos, dentro de los plazos legalmente establecidos y conforme a las instrucciones impartidas por el Director de Gestión Jurídica y/o el supervisor designado.
 6. Apoyar en la proyección y sustanciación de los procesos que resuelven los recursos en sede administrativa, cuando procedan y que le sean asignados por el Supervisor del Contrato.
 7.Apoyar en la proyección y sustanciación de los procesos que resuelven los recursos de segunda instancia en materia disciplinaria, cuando procedan y que le sean asignados por el Supervisor del Contrato.
 8.Asistir o convocar las reuniones y mesas de trabajo que le sean asignadas y presentar un reporte de lo acontecido en las mismas. Así mismo, brindar soporte jurídico para las reuniones a las que asistan el Director de Gestión Jurídica y/o supervisor. 
 9.Las demás actividades que le asigne el supervisor del contrato y que se encuentren directamente relacionadas con el objeto contractual.</t>
  </si>
  <si>
    <t>https://community.secop.gov.co/Public/Tendering/OpportunityDetail/Index?noticeUID=CO1.NTC.9433801&amp;isFromPublicArea=True&amp;isModal=False</t>
  </si>
  <si>
    <t>oscarmagnuz@hotmail.com</t>
  </si>
  <si>
    <t>4121.010.32.1.031</t>
  </si>
  <si>
    <t>4121.010.26.1.031</t>
  </si>
  <si>
    <t>OLGA LUCÍA HERRERA RIASCOS</t>
  </si>
  <si>
    <t>1.144.131.138 de Cali</t>
  </si>
  <si>
    <t>Abogado (a) titulado (a) con postgrado</t>
  </si>
  <si>
    <t>Abogada de la Universidad Libre, graduada el 24/11/2021, Especialista en Derecho Administrativo de la Universidad Libre graduada el 24/11/2021</t>
  </si>
  <si>
    <t>256057 Expedida por el Consejo Superior de la Judicatura el 20 de abril de 2015</t>
  </si>
  <si>
    <t>*Desde el 01/feb/2023 hasta 31/may/2024, 1 año, 4 meses, en la Defensoría del Pueblo. *Desde 10/jul/2022 hasta 31/dic/2022, 5 meses, y 21 días, en la Defensoría del Pueblo. *Desde 01/oct/2020 hasta 18/dic/2020, 2 meses y 17 dias, World Legal Corporation S.A.S. * Desde 12/ene/2021 hasta 31/ago/2021, 7 meses y 19 dias, World Legal Corporation S.A.S. *Desde 01/sep/2021 hasta 17/dic/2021, 3 meses y 16 dias, World Legal Corporation S.A.S. * Desde 11/ene/2022 hasta 30/abr/2022, 3 meses, y 19 días, World Legal Corporation S.A.S. *Desde 14/feb/2024 hasta 30/abr/2024, 2 meses y 16 dias, Alcaldía de Santiago Cali. Total: 3 años, 5 meses y 18 días</t>
  </si>
  <si>
    <t>Prestación de servicios profesionales como abogado especializado, en la Subdirección de Doctrina y Asuntos Normativos del Departamento Administrativo de Gestión Jurídica Pública del Distrito de Santiago de Cali, con el fin de fortalecer la seguridad jurídica dentro del marco regulatorio de los actos administrativos y documentos que deban ser sancionados o suscritos por el Alcalde Distrital de Santiago de Cali, en el marco del proyecto de inversión denominado "Fortalecimiento del Ciclo de Defensa Jurídica y de la Política de Mejora Normativa del Distrito Especial de Santiago de Cali BP-26005460"</t>
  </si>
  <si>
    <t>1. Proyectar y revisar los actos administrativos tales como Decretos, Resoluciones, Circulares entre otros, a partir de la aplicación de las normas, jurisprudencia y doctrina; asignados por el Director de Gestión Jurídica y/o supervisor.
 2.Revisar los documentos desde su dimensión legal que deban ser sancionados o suscritos por el Alcalde Municipal, asignados por el supervisor y sin perjuicio de la aprobación técnico- jurídica, presupuestal que deban impartir los jefes de los organismos municipales.
 3. Apoyar los procesos de incidencia legislativa para el Distrito de Cali en los que participa el Departamento de Gestión Jurídica, en articulación con la Secretaría de Gobierno, mediante la realización de observaciones a proyectos de ley, análisis legales, convocatoria a mesas de trabajo y demás actividades necesarias para el desarrollo y éxito de dicha gestión.
 4.Proyectar los conceptos jurídicos que deban ser firmados y aprobados por el Director del Departamento Administrativo de Gestión Jurídica Pública, a partir de la aplicación de las normas, jurisprudencia y doctrina para la gestión jurídica del Distrito de Santiago de Cali. 
 5. Apoyar en la proyección y sustanciación de los procesos que resuelven los recursos en sede administrativa, cuando procedan y que le sean asignados por el Supervisor del Contrato.
 6. Apoyar en la revisión de los proyectos de acuerdo, así como revisar y conceptuar, previo a la sanción del Alcalde, sobre la legalidad de los proyectos de Acuerdo aprobados por el Concejo, que deban ser viabilizados jurídicamente por del Departamento Administrativo de Gestión Jurídica Pública.
 7.Asistir o convocar las reuniones y mesas de trabajo que le sean asignadas y presentar un reporte de lo acontecido en las mismas. Así mismo, brindar soporte jurídico para las reuniones a las que asistan el Director de Gestión Jurídica y/o supervisor. 
 8.Las demás actividades que le asigne el supervisor del contrato y que se encuentren directamente relacionadas con el objeto contractual.</t>
  </si>
  <si>
    <t>https://community.secop.gov.co/Public/Tendering/OpportunityDetail/Index?noticeUID=CO1.NTC.9433705&amp;isFromPublicArea=True&amp;isModal=False</t>
  </si>
  <si>
    <t>herrerariascos_7@hotmail.com</t>
  </si>
  <si>
    <t>CARRERA 51 # 17 16</t>
  </si>
  <si>
    <t>4121.010.32.1.032</t>
  </si>
  <si>
    <t>4121.010.26.1.032</t>
  </si>
  <si>
    <t>MANUEL ALBERTO VALENCIA RIASCOS</t>
  </si>
  <si>
    <t>1.144.043.471 de Cali</t>
  </si>
  <si>
    <t>Abogado (a) titulado (a)</t>
  </si>
  <si>
    <t>Abogado de la Universidad Santiago de Cali, graduado el 20/11/2018</t>
  </si>
  <si>
    <t>319101 - del Consejo Superior de la Judicatura, expedida el 19 de diciembre del 2018.</t>
  </si>
  <si>
    <t>*Desde 13/jun/2024 hasta 31/oct/2024, 4 meses y 18 días, Alcaldía de Santiago de Cali. *Desde 14/feb//2024 hasta 30/abr/2024, 2 meses, y 16 días, Alcaldía de Santiago de Cali. * Desde 18/nov/2022 hasta 30/dic/2022,1 meses y 12 días en Alcaldía de Santiago de Cali. *Desde 27/feb/2020 hasta 31/mar/2020, 1 mes y 14 días, Alcaldía de Santiago de Cali. *Desde 24/abr/2020 hasta 21/jun/2020, 1 mes y 26 días, Alcaldía de Santiago de Cali.*Desde 22/ene/2019 al 30/abr/2019, 3 meses y 8 días, Alcaldía de Santiago de Cali. *Desde 14/may/2019 al 27/dic/2019, 7 meses y 13 días, Alcaldía de Santiago de Cali. Total: 1 año, 10 meses y 17 dias</t>
  </si>
  <si>
    <t>Prestación de servicios profesionales como Abogado, brindando soporte a la Subdirección de Doctrina y Asuntos Normativos del Departamento Administrativo de Gestión Jurídica Pública del Distrito de Santiago de Cali.</t>
  </si>
  <si>
    <t>1. Proyectar y revisar los actos administrativos tales como Decretos, Resoluciones, Circulares entre otros, a partir de la aplicación de las normas, jurisprudencia y doctrina; asignados por el Director de Gestión Jurídica y/o supervisor. 
 2.Apoyar en la revisión de los proyectos de acuerdo, así como revisar y conceptuar, previo a la sanción del Alcalde, sobre la legalidad de los proyectos de Acuerdo aprobados por el Concejo, que deban ser viabilizados jurídicamente por del Departamento Administrativo de Gestión Jurídica Pública.
 3. Revisar los documentos desde su dimensión legal que deban ser sancionados o suscritos por el Alcalde Municipal, asignados por el supervisor y sin perjuicio de la aprobación técnico- jurídica, presupuestal que deban impartir los jefes de los organismos municipales.
 4.Proyectar los conceptos jurídicos que deban ser firmados y aprobados por el Director del Departamento Administrativo de Gestión Jurídica Pública, a partir de la aplicación de las normas, jurisprudencia y doctrina para la gestión jurídica del Distrito de Santiago de Cali. 
 5.Apoyar en la proyección y sustanciación de los procesos que resuelven los recursos en sede administrativa, cuando procedan y que le sean asignados por el Supervisor del Contrato.
 6.Asistir o convocar las reuniones y mesas de trabajo que le sean asignadas y presentar un reporte de lo acontecido en las mismas. Así mismo, brindar soporte jurídico para las reuniones a las que asistan el Director de Gestión Jurídica y/o supervisor. 
 7.Las demás actividades que le asigne el supervisor del contrato y que se encuentren directamente relacionadas con el objeto contractual.</t>
  </si>
  <si>
    <t>https://community.secop.gov.co/Public/Tendering/OpportunityDetail/Index?noticeUID=CO1.NTC.9410472&amp;isFromPublicArea=True&amp;isModal=False</t>
  </si>
  <si>
    <t>manuelvalencia089@gmail.com</t>
  </si>
  <si>
    <t xml:space="preserve">PROFESIONAL </t>
  </si>
  <si>
    <t>4121.010.32.1.033</t>
  </si>
  <si>
    <t>4121.010.26.1.033</t>
  </si>
  <si>
    <t>ANA CRISTINA MILLÁN PARRA</t>
  </si>
  <si>
    <t>1.143.840.331 de Cali</t>
  </si>
  <si>
    <t>7</t>
  </si>
  <si>
    <t>Abogada de la Universidad Santiago de Cali, graduada el 15/nov/2019, Especialista en Derecho Público de la Universidad Externado de Colombia graduada el 9/nov/2023.</t>
  </si>
  <si>
    <t>341070 del Consejo Superior de la Judicatura, expedida el 30/01/2020</t>
  </si>
  <si>
    <t>*Desde 21/noviembrel/2024 hasta 30/12/2024, 1 mes y 9 días, Alcaldía de Santiago de Cali. *Desde 11/jul/2023 hasta 29/12/2023, 5 meses, y 18 días, Alcaldía de Santiago de Cali. * Desde 11/may/2023 hasta 30/jun/2023, 1 mes y 19 días, Alcaldía de Santiago de Cali. * Desde 21/ene/2023 hasta 30/abr/2023, 3 meses y 8 días, Alcaldía de Santiago de Cali. * Desde 15/jul/2022 hasta 30/dic/2022, 5 meses y 15 días, Alcaldía de Santiago de Cali. * Desde 21/ene/2022 hasta 30/jun/2022, 5 meses y 9 días, Alcaldía de Santiago de Cali. * Desde 21/sep/2021 hasta 19/nov/2021, 1 mes y 27 días, Alcaldía de Santiago de Cali. *Desde 15/noviembre/2019 hasta 27/diciembre de 2019, 1 mes y 12 dias, en el Distrito de Santiago de Cali. Total: 2 años, 1 mes y 27 dias.</t>
  </si>
  <si>
    <t>Prestación de servicios profesionales como abogado especializado, en la Subdirección de Doctrina y Asuntos Normativos del Departamento Administrativo de Gestión Jurídica Pública del Distrito de Santiago de Cali, con el fin de fortalecer la seguridad jurídica dentro del marco regulatorio de los actos administrativos y documentos que deban ser sancionados o suscritos por el Alcalde Distrital de Santiago de Cali.</t>
  </si>
  <si>
    <t>https://community.secop.gov.co/Public/Tendering/OpportunityDetail/Index?noticeUID=CO1.NTC.9552485&amp;isFromPublicArea=True&amp;isModal=False</t>
  </si>
  <si>
    <t>ana.millanparra@gmail.com</t>
  </si>
  <si>
    <t>Apoyar la etapa de cumplimiento y pago de sentencias y acuerdos conciliatorios del Distrito de Santiago de Cali</t>
  </si>
  <si>
    <t>BP-26005460/1/01/01/05</t>
  </si>
  <si>
    <t>4121/1.2.1.0.00/2.3.2.02.02.008/63020010002/BP260054601010105</t>
  </si>
  <si>
    <t>4121.010.32.1.034</t>
  </si>
  <si>
    <t>4121.010.26.1.034</t>
  </si>
  <si>
    <t>SINDY MARIEL MENA GRUESSO</t>
  </si>
  <si>
    <t xml:space="preserve">1.130.638.087 de Cali </t>
  </si>
  <si>
    <t>Abogada, Especialista en Derecho Constitucional, Especialista en Derecho Administrativo</t>
  </si>
  <si>
    <t>226165 Expedida por el Consejo Superior de la Judicatura el 21 de febrero de 2013</t>
  </si>
  <si>
    <t>*22/abr/2020 hasta 30/jun/2020, 2 meses y 8 dias,Alcaldía DE SANTIAGO DE CALI*21/feb/2020 hasta 31/mar/2020, 1 mes y 10 dias,Alcaldía DE SANTIAGO DE CALI*16/May/2019 hasta 27/Dic/2019, 7 meses y 11 días, Alcaldía DE SANTIAGO DE CALI, *24/Ene/2019 hasta 30/ABR/2019, 3 meses y 6 días, Alcaldía DE SANTIAGO DE CALI , *27/Jun/2018 hasta 27/Dic/2018, 6 meses, Alcaldía DE SANTIAGO DE CALI, *22/ene/2018 hasta 18/jun/2018, 3 meses y 25 dias Alcaldía DE SANTIAGO DE CALI * 20/oct/2017 hasta 29/dic/2017, 2 meses y 9 dias Alcaldía DE SANTIAGO DE CALI. Total: 2 años, 2 meses y 9 días</t>
  </si>
  <si>
    <t>Dieciocho (18) meses de experiencia profesional.</t>
  </si>
  <si>
    <t>Prestación de servicios profesionales como Abogada en la Subdirección de Defensa Judicial y Prevención del Daño Antijurídico del Departamento Administrativo de Gestión Jurídica Pública en el marco del proyecto de inversión denominado "Fortalecimiento del Ciclo de Defensa Jurídica y de la Política de Mejora Normativa del Distrito Especial de Santiago de Cali BP-26005460"</t>
  </si>
  <si>
    <t xml:space="preserve">1.Apoyar a la Subdirección de Defensa Judicial y Prevención del Daño Antijurídico del Departamento Administrativo de Gestión Jurídica Pública, en la asignación y reasignación de los procesos prejudiciales, judiciales, tramites arbitrales y casos que deban ser analizados para determinar la procedencia o no de la acción de repetición, realizando la gestión administrativa y elaborando los oficios o comunicaciones correspondientes. 
2. Apoyar en las actividades de depuración del aplicativo de sistema de información de procesos judiciales del Departamento Administrativo de Gestión Jurídica Pública. 
3.  Proyectar cuando se requiera,  los actos administrativos que le sean asignados, para atender los gastos del ejercicio de la defensa judicial de la entidad- Distrito Especial de Santiago de Cali.  
4.  Apoyar en la recopilación de la información que se deba suministrar la Subdirección de Defensa Judicial y Prevención del Daño Antijurídico del Departamento Administrativo de Gestión Jurídica Pública a la Subdirección de Tesorería del Departamento Administrativo de Hacienda por conceptos de embargos y/o remanentes de procesos judiciales. 
5. Apoyar en el seguimiento del trámite de embargos y/o remanentes de procesos judiciales que, con ocasión del procedimiento iniciado por el Departamento Administrativo de Gestión Jurídica Pública, deban continuar los organismos de la Administración Central Distrital.
6. Proyectar cuando se requiera los oficios de reclamación de títulos judiciales. 
7. Apoyar en la alimentación de la base de datos excel de los pagos de sentencias, laudos arbitrales, conciliaciones y costas judiciales con la información que remite la Subdirección de Tesorería del Departamento Administrativo de Hacienda y con el análisis de la información contenida en el sistema de información de procesos judiciales del Departamento Administrativo de Gestión Jurídica Pública, para el estudio de la procedencia o no de la acción de repetición. 
8. Ingresar en el sistema de información de procesos judiciales del Departamento Administrativo de Gestión Jurídica Pública, los soportes de los pagos provenientes de las sentencias judiciales, laudos arbitrales, conciliaciones y costas judiciales realizados por la Subdirección de Tesorería del Departamento Administrativo de Hacienda. 
9. Proyectar para la firma del Director(a) del Departamento Administrativo de Gestión Jurídica Pública, el informe que deba conocer el Alcalde Distrital de Santiago de Cali, sobre los pagos realizados por la entidad por concepto de sentencias judiciales, laudos arbitrales, conciliaciones y costas judiciales. 
10. Proyectar mensualmente el oficio que el Departamento Administrativo de Gestión Jurídica Pública deba enviar al Departamento Administrativo de Hacienda Distrital solicitando información sobre los pagos de sentencias, laudos arbitrales y conciliaciones del Distrito de Santiago de Cali.
 11. Las demás actividades que le asigne el supervisor del contrato y que se encuentren directamente relacionadas con el objeto contractual.
</t>
  </si>
  <si>
    <t>https://community.secop.gov.co/Public/Tendering/OpportunityDetail/Index?noticeUID=CO1.NTC.9418655&amp;isFromPublicArea=True&amp;isModal=False</t>
  </si>
  <si>
    <t>cindyci17@hotmail.com</t>
  </si>
  <si>
    <t>CALLE 62 N # 2 B 32 APARTAMENTO 103 TORRE R VILLA DEL PRADO</t>
  </si>
  <si>
    <t>Realizar el proceso de actualización  de la información litigiosa de los sistemas de información</t>
  </si>
  <si>
    <t>BP-26005460/1/01/01/01</t>
  </si>
  <si>
    <t>4121/1.2.1.0.00/2.3.2.02.02.008/6302 0010002/BP260054601010101</t>
  </si>
  <si>
    <t>4121.010.32.1.035</t>
  </si>
  <si>
    <t>4121.010.26.1.035</t>
  </si>
  <si>
    <t>ELCY MILEY GAVIRIA VERDUGO</t>
  </si>
  <si>
    <t>31.449.649 de Jamundí</t>
  </si>
  <si>
    <t>Técnico en Asistencia en Organización de Archivos</t>
  </si>
  <si>
    <t>*22/abr/2020 hasta 21/jun/2020,1 mes y 28 dias,Alcaldía de Santiago de Cali*14/may/2019 hasta 27/dic/2019, 7 meses y 13 días, Alcaldía de Santiago de Cali, *22/ene/2019 hasta 30/abr/2019, 3 meses y 8 días, Alcaldía de Santiago de Cali. *17/ene/2018 hasta 31/may/2018, 4 meses y 14 días, Alcaldía de Santiago de Cali, *18/oct/2017 hasta 29/dic/2017, 2 meses y 11 días, Alcaldía de Santiago de Cali, *12/jul/2017 hasta 29/sep/2017, 2 meses y 17 días, Alcaldía de Santiago de Cali. Total: 1año, 10 meses y 1 día.</t>
  </si>
  <si>
    <t>Prestación de servicios de apoyo a la gestión en la digitación, creación y depuración de acciones constitucionales dentro del aplicativo del sistema de información de procesos judiciales del Departamento Administrativo de Gestión Jurídica Pública del Distrito Especial de Santiago de Cali. Lo anterior en desarrollo del proyecto de inversión "Fortalecimiento del Ciclo de Defensa Jurídica y de la Política de Mejora Normativa del Distrito Especial de Santiago de Cali BP-26005460"</t>
  </si>
  <si>
    <t>1.Apoyar en la digitación y creación en el aplicativo del sistema de información de procesos judiciales del Departamento Administrativo de Gestión Jurídica Pública, de las acciones constitucionales que le fueran notificadas al organismo. 2. Apoyar en la digitalización, cargue y actualización en el sistema de información de procesos judiciales del Departamento Administrativo de Gestión Jurídica Pública, los documentos inherentes a las actuaciones  constitucionales que le fueran notificadas al organismo. 3. Apoyar en la asignación de acciones constitucionales dentro del sistema de información de procesos judiciales del Departamento Administrativo de Gestión Jurídica Pública. 4. Apoyar cuando se le requiera, en las actividades de depuración de acciones de tutelas dentro del aplicativo de sistemas de información de procesos judiciales del Departamento Administrativo de Gestión Jurídica Pública.  5. Las demás actividades que le asigne el supervisor del contrato y que se encuentren directamente relacionadas con el objeto contractual.</t>
  </si>
  <si>
    <t>https://community.secop.gov.co/Public/Tendering/OpportunityDetail/Index?noticeUID=CO1.NTC.9421819&amp;isFromPublicArea=True&amp;isModal=False</t>
  </si>
  <si>
    <t>valentina25gaviria@gmail.com</t>
  </si>
  <si>
    <t>CALLE 30 N # 4 A 31 Apartamento TERRON COLORADO SECTOR LA LENGUA</t>
  </si>
  <si>
    <t>Apoyar la etapa prejudicial y judicial de los procesos activos de la Administración Distrital</t>
  </si>
  <si>
    <t>BP-26005460/1/01/01/03</t>
  </si>
  <si>
    <t>4121/1.2.1.0.00/2.3.2.02.02.008/63020010002/BP260054601010103</t>
  </si>
  <si>
    <t>4121.010.32.1.036</t>
  </si>
  <si>
    <t>4121.010.26.1.036</t>
  </si>
  <si>
    <t>MARÍA FERNANDA RENTERÍA CASTRO</t>
  </si>
  <si>
    <t>67.000.403 de Cali</t>
  </si>
  <si>
    <t>Abogado (a) titulado (a) y Dos (2) años de experiencia profesional como equivalencia al Título de posgrado en la modalidad de especialización, de conformidad con el numeral 8.3.1 de la tabla de Honorarios expedida por el Distrito de Santiago de Cali, mediante Circular No.4135.010.22.2.1020.000004 el día 4 de enero de 2024.</t>
  </si>
  <si>
    <t>Abogada de la Universidad Santiago de Cali graduada el 26/agosto/2009</t>
  </si>
  <si>
    <t>186207 Expedida por el Consejo Superior de l judicatura el 17 de diciembre de 2009</t>
  </si>
  <si>
    <t>* 1/ene/2011 hasta 31/dic/2011, 11 meses y 30 días, G.HERRERA &amp; ASOCIADOS, *1/ene/2012 hasta 6/feb/2012, 1 mes y 5 días, G.HERRERA &amp; ASOCIADOS, *2/may/2013 hasta 31/dic/2013, 7 meses y 29 días, Alcaldía de Santiago de Cali, *2/may/2014 hasta 30/dic/2014, 7 meses y 28 días, FERGON S.A.S. *26/Oct/2015 hasta 30/dic/2015, 2 meses y 4 días, FERGON S.A.S. *21/mar/2017 hasta 15/jun/2017, 2 meses y 24 días, Alcaldía de Santiago de Cali, 17/ene/2018 hasta 30/jun/2018, 5 meses y 13 días, Alcaldía de Santiago de Cali, * 26/jul/2018 hasta 31/dic/2018, 5 meses, y 5 días, Alcaldía de Santiago de Cali, *24/ene/2019 hasta 30/abr/2019, 3 meses y 6 días. Alcaldía de Santiago de Cali. *Desde 18/ene/2022 hasta 31/ago/2022, 7 meses y 13 días, Alcaldía de Santiago de Cali. Total: 4 años, 7 meses y 7 días.</t>
  </si>
  <si>
    <t>Prestación de servicios profesionales como Abogada llevando a cabo actividades de representación judicial para el Departamento Administrativo de Gestión Jurídica Pública en el marco del proyecto de inversión denominado "Fortalecimiento del Ciclo de Defensa Jurídica y de la Política de Mejora Normativa del Distrito Especial de Santiago de Cali BP-26005460"</t>
  </si>
  <si>
    <t>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Asistir a las jornadas de socialización, mesas técnicas, mesas de estudio y comités de fortalecimiento a los que sea convocado. 5. Apoyar en la revisión de los escritos de contestación de las acciones de tutela que se presenten en contra del Distrito Especial de Santiago de Cali y en el seguimiento de las mismas. 6.Brindar apoyo a la Subdirección de Defensa Judicial y Prevención del Daño Antijuridico del Departamento Administrativo de Gestión Jurídica Pública en la proyección de los documentos del proceso de gestión Contractual o como apoyo a la supervisión (cuando se requiera) de los contratos en los que la subdirección ejerza la supervisión de los mismos.  7.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</si>
  <si>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https://community.secop.gov.co/Public/Tendering/OpportunityDetail/Index?noticeUID=CO1.NTC.9427257&amp;isFromPublicArea=True&amp;isModal=False</t>
  </si>
  <si>
    <t>mafer.renteria@hotmail.com</t>
  </si>
  <si>
    <t>CARRERA 7 N # 47 N 21 CASA 176 Comuna 18</t>
  </si>
  <si>
    <t>4121.010.32.1.037</t>
  </si>
  <si>
    <t>4121.010.26.1.037</t>
  </si>
  <si>
    <t>WALTER JULIÁN MESA HERNÁNDEZ</t>
  </si>
  <si>
    <t>1.130.607.416 de Cali</t>
  </si>
  <si>
    <t>Abogado de la Universidad Santiago de Cali graduado el 01/11/2017, Especialista en Derecho Administrativo de la Universidad Santiago de Cali graduado el 03/04/2018</t>
  </si>
  <si>
    <t>300348 del Consejo Superior de la Judicatura, expedida el 20/12/2017</t>
  </si>
  <si>
    <t>*Desde el 07/01/2018 al 17/01/2024, 6 años y 10 dias en Asesorías Jurídicas de Occidente, *Desde el 17/02/2017 al 30/06/2017, 4 meses y 13 dias, en la Alcaldía de Santiago de Cali - DEPARTAMENTO ADMINISTRATIVO DE GESTIÓN JURÍDICA PÚBLICA. *Desde el 13/07/2017 al 20/09/2017, 2 meses y 7 dias, en la Alcaldía de Santiago de Cali - DEPARTAMENTO ADMINISTRATIVO DE GESTIÓN JURÍDICA PÚBLICA. *Desde el 17/10/2017 al 29/12/2017, 4 meses y 12 dias, en la Alcaldía de Santiago de Cali - DEPARTAMENTO ADMINISTRATIVO DE GESTIÓN JURÍDICA PÚBLICA. Total: 6 años, 11 meses y 12 días</t>
  </si>
  <si>
    <t>Prestación de servicios profesionales como Abogado especializado llevando a cabo actividades de representación juidicial y seguimiento de las acciones de tutela en el Departamento Administrativo de Gestión Jurídica Pública dentro del marco del proyecto de inversión denominado "Fortalecimiento del Ciclo de Defensa Jurídica y de la Política de Mejora Normativa del Distrito Especial de Santiago de Cali BP-26005460"</t>
  </si>
  <si>
    <t>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Proyectar los conceptos jurídicos, requerimientos y respuestas a solicitudes o peticiones que le sean asignados. 5.Apoyar en la remisión oportuna a los organismos de la Administración Central Distrital, según su competencia misional, de las acciones constitucionales que sean notificadas por los diferentes despachos judiciales, y en donde el Distrito Especial de Santiago de Cali se encuentre vinculado 6. Apoyar en la revisión de los escritos de contestación de las acciones de tutela que se presenten en contra del Distrito Especial de Santiago de Cali y en el seguimiento de las mismas.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</si>
  <si>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https://community.secop.gov.co/Public/Tendering/OpportunityDetail/Index?noticeUID=CO1.NTC.9399010&amp;isFromPublicArea=True&amp;isModal=False</t>
  </si>
  <si>
    <t>walterjmesah@gmail.com</t>
  </si>
  <si>
    <t>Hacienda el castillo conjunto acacias casa 49 Jamundí</t>
  </si>
  <si>
    <t>4121.010.32.1.038</t>
  </si>
  <si>
    <t>4121.010.26.1.038</t>
  </si>
  <si>
    <t>LUZ KARIME ROJAS CAMACHO</t>
  </si>
  <si>
    <t xml:space="preserve">27.603.477 de Cucúta </t>
  </si>
  <si>
    <t>Abogada de la Universidad San Buenaventura, graduado el 14/12/2006</t>
  </si>
  <si>
    <t>156065 Expedida por el Consejo Superior de la Judicatura, el 19 de febrero de 2007</t>
  </si>
  <si>
    <t>*Desde el 03/oct/2011 al 15/dic/2011, 2 mes y 12 dias, en el Juzgado Quince Administrativo Oral del Circuito de Cali. *Desde el 16/ene/2012 al 31/ago/2013, 1 año, 7 meses, y 15 días, en el Juzgado Quince Administrativo Oral del Circuito de Cali. *Desde 11/ago/2016 hasta el 1/05/2017, 8 meses y 19 dias, en el Juzgado Quince Administrativo Oral del Circuito de Cali. Total: 2 años, 4 meses y 16 días</t>
  </si>
  <si>
    <t>Prestación de servicios profesionales como Abogado llevando a cabo actividades de representación judicial y de seguimiento de incidentes de desacatos en el Departamento Administrativo de Gestión Jurídica Pública en el marco del proyecto de inversión denominado "Fortalecimiento del Ciclo de Defensa Jurídica y de la Política de Mejora Normativa del Distrito Especial de Santiago de Cali BP-26005460"</t>
  </si>
  <si>
    <t xml:space="preserve">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Proyectar los oficios de cumplimiento de sentencias constitucionales y apertura de incidentes de desacato, y los decretos de cumplimiento de sentencias y de delegación en acciones populares, en las cuales se haya vinculado al Distrito Especial de Santiago de Cali. 
5. Proyectar respuestas, oficios y circulares sobre incidentes de desacato, cumplimiento de sentencias y acciones populares que le sean asignados. 
6. Apoyar en la actualización de la base de seguimiento de incidentes de desacato. 
7.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
</t>
  </si>
  <si>
    <t>https://community.secop.gov.co/Public/Tendering/OpportunityDetail/Index?noticeUID=CO1.NTC.9481960&amp;isFromPublicArea=True&amp;isModal=False</t>
  </si>
  <si>
    <t>LKROJAS@HOTMAIL.COM</t>
  </si>
  <si>
    <t>Kilometro 21 via cali - jamundi - El castillo conjunto acacias</t>
  </si>
  <si>
    <t>4121.010.32.1.039</t>
  </si>
  <si>
    <t>4121.010.26.1.039</t>
  </si>
  <si>
    <t>CARMEN YANILA MORENO IBARGUEN</t>
  </si>
  <si>
    <t>38.463.102 de Cali</t>
  </si>
  <si>
    <t>Abogada de la Universidad Santiago de Cali graduada el 22/11/2017, Especialista en Derecho Administrativo de la Universidad Santiago de Cali graduada el 23/03/2021</t>
  </si>
  <si>
    <t>300234 del Consejo Superior de la Judicatura, expedida el 19/12/2017</t>
  </si>
  <si>
    <t>* Desde el 9/08/2018 hasta 26/03/2019, 7 meses, y 17 días, ASMET SALUD E.P.S. *Desde el 15/07/2019 hasta 31/12/2019, 5 meses, y 16 días en la Secretaría de Vivienda Social y Hábitat del Distrito de Santiago de Cali. *Desde el 13/02/2020 hasta 2/11/2021, 1 año, 8 meses, y 18 días, Rama Judicial - Proceso verbal declaración de pertenencia por prescripción extraordinaria adquisitiva de dominio con radicación 7600140030332020009600. Total: 2 años, 9 meses y 21 días</t>
  </si>
  <si>
    <t>Prestación de servicios profesionales como Abogado especializado en las actividades que deba llevar a cabo el Departamento Administrativo de Gestión Jurídica Pública dentro del Comité de Conciliación y Defensa Judicial del Distrito de Santiago de Cali en el marco del proyecto de inversión denominado "Fortalecimiento del Ciclo de Defensa Jurídica y de la Política de Mejora Normativa del Distrito Especial de Santiago de Cali BP-26005460"</t>
  </si>
  <si>
    <t>1. Brindar apoyo profesional en la revisión de fichas técnicas, convocatorias y organización de las sesiones del Comité de Conciliación y Defensa Judicial. 2. Proyectar las actas de reunión de las sesiones ordinarias y extraordinarias que realice el Comité de Conciliación y Defensa Judicial del Distrito Especial de Santiago de Cali. 3. Proyectar las actas del Comité de Conciliación y Defensa Judicial del Distrito Especial de Santiago de Cali que deban presentar los apoderados judiciales dentro de las etapa prejudiciales y judiciales donde el Distrito Especial de Santiago de Cali se encuentre vinculado. 4.Proyectar los informes que el Comité de Conciliación y Defensa Judicial debe presentar al señor Alcalde del Distrito de Santiago de Cali y Órganos de Control. 5. Ejercer la representación judicial de acciones constitucionales de la Entidad que le sean asignado 6.Las demás actividades que le asigne el supervisor del contrato y que se encuentren directamente relacionadas con el objeto contractual.</t>
  </si>
  <si>
    <t>https://community.secop.gov.co/Public/Tendering/OpportunityDetail/Index?noticeUID=CO1.NTC.9423048&amp;isFromPublicArea=True&amp;isModal=False</t>
  </si>
  <si>
    <t>carmenmoreno.abogada@gmail.com</t>
  </si>
  <si>
    <t>CR 83 F # 48 A 115 BRR CANEY</t>
  </si>
  <si>
    <t>4121.010.32.1.040</t>
  </si>
  <si>
    <t>4121.010.26.1.040</t>
  </si>
  <si>
    <t>MARÍA ELSY ARIAS MARÍN</t>
  </si>
  <si>
    <t>38.943.182 de Cali</t>
  </si>
  <si>
    <t>Abogada, Especialista en Instituciones Jurídicos Políticas y Derecho Público.</t>
  </si>
  <si>
    <t>34759 -D1 Expedida por el Consejo Superior de la Jurdicatura el 25 de febrero de 1985.</t>
  </si>
  <si>
    <t>*Desde el 11/feb/1999 hasta 30/dic/2007, 8 años 10 meses y 19 dias SECRETARIA DE VIVIENDA SOCIAL - Alcaldía DE SANTIAGO DE CALI. Total: 8 años, 10 meses y 19 días</t>
  </si>
  <si>
    <t>Prestación de servicios profesionales como Abogado llevando a cabo actividades de representación judicial para el Departamento Administrativo de Gestión Jurídica Pública en el marco del proyecto de inversión denominado "Fortalecimiento del Ciclo de Defensa Jurídica y de la Política de Mejora Normativa del Distrito Especial de Santiago de Cali BP-26005460"</t>
  </si>
  <si>
    <t>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</si>
  <si>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https://community.secop.gov.co/Public/Tendering/OpportunityDetail/Index?noticeUID=CO1.NTC.9422856&amp;isFromPublicArea=True&amp;isModal=False</t>
  </si>
  <si>
    <t>elsyariasmarin@hotmail.com</t>
  </si>
  <si>
    <t>CARRERA 38 # 4 07 CALI CASA</t>
  </si>
  <si>
    <t>4121.010.32.1.041</t>
  </si>
  <si>
    <t>4121.010.26.1.041</t>
  </si>
  <si>
    <t>ANDREA BETANCOURT ARCOS</t>
  </si>
  <si>
    <t>1.085.254.564 de Pasto</t>
  </si>
  <si>
    <t>Abogada de la Universidad Santiago de Cali graduada el 22/11/2016. Magíster en Derechos Humanos y Cultura de Paz de  30 abril de 2025.</t>
  </si>
  <si>
    <t>283633 del Concejo Superior de la Judicatura, expedida el 28/12/2016</t>
  </si>
  <si>
    <t>*Desde 08/sep/2015 hasta 08/jun/2016, 9 meses en Defensoria Militar Regional de Occidente. *Desde 16/dic/2016 hasta 15/feb/2018, 1 años, 1 mes y 27 días, - Grupo Jurídico de Occidente.* Desde 16/feb/2018 hasta 26/nov/2018, 9 meses en Bryon &amp; Salas,*Desde el 27/nov/2018 hasta 9/jun/2020, 1 año, 6 meses y 11 días, Octopus Force Lab Reports Academy Governmen. * Desde 02/ene/2021 hasta 30/dic/2021, 11 meses, y 28 días, Hector Frannsiny Ramos Arteaga Abogado Litigante. *Desde el 1/feb/2022 hasta 15/sep/2022, 7 meses y 14 días - Departamento Administrativo de la Presidencia de la República.* Desde 14/jun/2024 hasta 31/oct/2024, 4 meses y 17 días en Distrito de Santiago de Cali. Total 6 años, 2 meses y 7 días</t>
  </si>
  <si>
    <t>Sesenta (60) meses de Experiencia Profesional</t>
  </si>
  <si>
    <t>https://community.secop.gov.co/Public/Tendering/OpportunityDetail/Index?noticeUID=CO1.NTC.9448932&amp;isFromPublicArea=True&amp;isModal=False</t>
  </si>
  <si>
    <t>andreab-a@hotmail.com</t>
  </si>
  <si>
    <t>CRA 80N #5-120 303 BLOQUE 1 CONJUNTO RESIDENCIAL VALLE DE LA FERREIRA</t>
  </si>
  <si>
    <t>4121.010.32.1.042</t>
  </si>
  <si>
    <t>4121.010.26.1.042</t>
  </si>
  <si>
    <t>ARMANDO ROJAS FIERRO</t>
  </si>
  <si>
    <t>16.619.689 de Cali</t>
  </si>
  <si>
    <t>Abogado de la Universidad Santiago de Cali graduado el 30/11/1993, Especialista en Derecho Administrativo de la Universidad Libre Seccional Cali graduado el 28/03/1995</t>
  </si>
  <si>
    <t>68060 del Consejo Superior de la Judicatura, expedida el 20/12/2017</t>
  </si>
  <si>
    <t>*Desde el 2/jul/1999 al 31/dic/2000,1 año, 5 meses y 29 días. en el Concejo Municipal de Santiago de Cali. *Desde el 2/jun/2010 al 31/May/2014, 3 años, 11 meses y 29 días en CALISALUD E.P.S. en liquidación. *Desde 17/jun/2024 hasta 31/oct/2024, 4 meses, y 14 días en Alcaldía de Santiago de Cali. *Desde 24/ene/2024 hasta 30/abr/2024, 3 meses y 6 días , Alcaldía de Santiago de Cali. *Desde 20/nov/2024 hasta 30/dic/2024, 1 mes y 10 días , Alcaldía de Santiago de Cali. *Desde 21/ene/2025 hasta 30/jun/2025, 5 meses y 9 días, Alcaldía de Santiago de Cali. Total 6 años, 8 meses y 7 días</t>
  </si>
  <si>
    <t>Prestación de servicios profesionales como Abogado especializado llevando a cabo actividades de representación judicial y análisis de la procedencia o no de la acción de repetición para el Departamento Administrativo de Gestión Jurídica Pública en el marco del proyecto de inversión denominado "Fortalecimiento del Ciclo de Defensa Jurídica y de la Política de Mejora Normativa del Distrito Especial de Santiago de Cali BP-26005460"</t>
  </si>
  <si>
    <t xml:space="preserve">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Proyectar los conceptos jurídicos, requerimientos y respuestas a solicitudes o peticiones que le sean asignados. 
5. Realizar el análisis de la procedencia o no de la acción de repetición que le sean asignados.
6.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
</t>
  </si>
  <si>
    <t>https://community.secop.gov.co/Public/Tendering/OpportunityDetail/Index?noticeUID=CO1.NTC.9433492&amp;isFromPublicArea=True&amp;isModal=False</t>
  </si>
  <si>
    <t>armandorojasabogado@hotmail.com</t>
  </si>
  <si>
    <t>CRA 83 E 48A 65 CANEY</t>
  </si>
  <si>
    <t>4121.010.32.1.043</t>
  </si>
  <si>
    <t>4121.010.26.1.043</t>
  </si>
  <si>
    <t>ANNYEE CAROLINA CHIRIMUSCAY ÁVILA</t>
  </si>
  <si>
    <t>1.151.960.763 de Cali</t>
  </si>
  <si>
    <t>Abogada de la Universidad ICESI, graduada el 24/feb/2018.</t>
  </si>
  <si>
    <t>308288 del Consejo Superior de la Judicatura, expedida el 11/may/2018</t>
  </si>
  <si>
    <t>* Desde 11/jul/2023 hasta 29/dic/2023, 5 meses, y 18 días, Alcaldía de Santiago de Cali. * Desde 12/may/2023 hasta 30/jun/2023, 1 meses, y 18 días, Alcaldía de Santiago de Cali. * Desde 21/ene/2023 hasta 30/abr/2023, 3 meses, y 9 días, Alcaldía de Santiago de Cali. * Desde 13/sep/2022 hasta 30/dic/2022, 3 meses, y 0 días, Alcaldía de Santiago de Cali. * Desde 14/jul/2022 hasta 30/ago/2022, 1 meses, y 16 días, Alcaldía de Santiago de Cali. * Desde 20/ene/2022 hasta 30/jun/2022, 5 meses, y 10 días, Alcaldía de Santiago de Cali. * Desde 12/ago/2021 hasta 08/oct/2021, 1 meses, y 25 días, Alcaldía de Santiago de Cali. *Desde 01/feb/2021 hasta 30/jul/2021, 5 meses, y 29 días, Alcaldía de Santiago de Cali. Total 2 años 4 y 5 días</t>
  </si>
  <si>
    <t>Prestación de servicios profesionales como abogado, en la Subdirección de Doctrina y Asuntos Normativos del Departamento Administrativo de Gestión Jurídica Pública del Distrito de Santiago de Cali, con el fin de fortalecer la seguridad jurídica dentro del marco regulatorio de los actos administrativos y documentos que deban ser sancionados o suscritos por el Alcalde Distrital de Santiago de Cali, en el marco del proyecto de inversión denominado "Fortalecimiento del Ciclo de Defensa Jurídica y de la Política de Mejora Normativa del Distrito Especial de Santiago de Cali" BP-26005460"</t>
  </si>
  <si>
    <t>https://community.secop.gov.co/Public/Tendering/OpportunityDetail/Index?noticeUID=CO1.NTC.9410522&amp;isFromPublicArea=True&amp;isModal=False</t>
  </si>
  <si>
    <t>chirimuscay@hotmail.com</t>
  </si>
  <si>
    <t>Realizar seguimiento y control de la actividad litigiosa</t>
  </si>
  <si>
    <t>BP-26005460/1/01/01/04</t>
  </si>
  <si>
    <t>4121/1.2.1.0.00/2.3.2.02.02.008/63020010002/BP260054601010104</t>
  </si>
  <si>
    <t>4121.010.32.1.044</t>
  </si>
  <si>
    <t>4121.010.26.1.044</t>
  </si>
  <si>
    <t>KAREN ESCOBAR ZULETA</t>
  </si>
  <si>
    <t>29.116.165  de Cali</t>
  </si>
  <si>
    <t>Abogada de la Universidad Santiago de Cali graduado el 13/mar/2012</t>
  </si>
  <si>
    <t>215456 Expedida por el Consejo Superior de la Judicatura el 25 de abril de 2012</t>
  </si>
  <si>
    <t>*Desde 27/abr/2020 hasta 24/jun/2020,1 mes y 26 dias, Alcaldía de Santiago de Cali
 *Desde 22/feb/2019 hasta 30/abr/2019, 2 meses y 8 días, Alcaldía de Santiago de Cali,
 * Desde 27/jul/2020 hasta 31/oct/2020, 3 meses, y 4 días, Alcaldía de Santiago de Cali.
 * Desde 28/oct/2021 hasta 31/dic/2021, 2 meses, y 3 días, Alcaldía de Santiago de Cali
 * Desde 24/ene/2022 hasta 30/jun/2022, 5 meses, y 6 días, Alcaldía de Santiago de Cali. 
 * Desde 26/jul/2022 hasta 30/dic/2022, 5 meses, y 4 días, Alcaldía de Santiago de Cali 
 Total: 1 año, 7 meses y 21 días</t>
  </si>
  <si>
    <t xml:space="preserve">Prestación de servicios profesionales como abogado, consistentes en brindar soporte a la Subdirección de Defensa Judicial y Prevención del Daño Antijurídico Departamento Administrativo de Gestión Jurídica Pública en desarrollo del proyecto de inversión "Fortalecimiento del Ciclo de Defensa Jurídica y de la Política de Mejora Normativa del Distrito Especial de Santiago de Cali BP-26005460" especificamente en lo relacionado con notificación de las acciones constitucionales. </t>
  </si>
  <si>
    <t>1.Apoyar en la remisión oportuna a los organismos de la Administración Central Distrital, según su competencia misional, de las acciones constitucionales que sean notificadas por los diferentes despachos judiciales, y en donde el Distrito Especial de Santiago de Cali se encuentre vinculado. 2. Informar oportunamente sobre la relevancia o impacto de acciones de tutela, sentencias y trámites de desacato, al Director, al Subdirector de Defensa Judicial y de Prevención del Daño Antijurídico y/o al supervisor del Contrato, para que se adopten las decisiones sobre el ejercicio de Defensa Judicial de la Entidad. 4. Apoyar en la asignación de acciones constitucionales a los apoderados del Departamento Administrativo de Gestión Jurídica Pública. 5. Las demás actividades que le asigne el supervisor del contrato y que se encuentren directamente relacionadas con el objeto contractual.</t>
  </si>
  <si>
    <t>https://community.secop.gov.co/Public/Tendering/OpportunityDetail/Index?noticeUID=CO1.NTC.9426478&amp;isFromPublicArea=True&amp;isModal=False</t>
  </si>
  <si>
    <t>karenescobar@hotmail.com</t>
  </si>
  <si>
    <t>AV 3 F N 59 111 AP 201 TO A BRR LA FLORA</t>
  </si>
  <si>
    <t>4121.010.32.1.045</t>
  </si>
  <si>
    <t>4121.010.26.1.045</t>
  </si>
  <si>
    <t>VICTORIA EUGENIA CARVAJAL CADAVID</t>
  </si>
  <si>
    <t xml:space="preserve">1.151.951.922 de Cali </t>
  </si>
  <si>
    <t>Abogada de la Pontificia Universidad Javeriana graduada el 19/nov/2021</t>
  </si>
  <si>
    <t>392032 Expedida por el Consejo Superior de la Judicatura el 28 de septiembre de 2022</t>
  </si>
  <si>
    <t>*Desde el 24/11/2021 al 31/12/2021, 1 mes y 19 dias. Alcaldía de Cali. *Desde el 29/01/2022 al 30/06/2022, 5 meses y 1 dia, Alcaldía de Cali. *Desde el 5/08/2022 al 30/09/2022, 1 mes y 25 dias, Alcaldía de Cali. *Desde el 10/10/2022 al 30/12/2022, 2 meses y 20 dias, Alcaldía de Cali.* Desde el 20/01/2023 al 31/05/2023, 4 meses y 11 dias, en la Secretaría de Cultura de la Alcaldía de Santiago de Cali. * Desde el 11/07/2023 al 29/12/2023, 5 meses y 18 dias en el Departamento Administrativo de Gestión Jurídica Pública de la Alcaldía de Santiago de Cali. Total: 1 año, 9 meses y 4 días</t>
  </si>
  <si>
    <t>Dieciocho(18) meses de experiencia profesional.</t>
  </si>
  <si>
    <t>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Asistir a las jornadas de socialización, mesas técnicas, mesas de estudio y comités de fortalecimiento a los que sea convocado. 5. Apoyar con la elaboración de oficios, requerimientos, respuestas y seguimiento a las acciones constitucionales que se presenten en contra del Distrito Especial de Santiago de Cali. 6. Apoyar al grupo de tutelas en la unificacion de pdf y enviar a los diferentes apoderados para la respectiva depuracion de acciones constitucionales en el aplicativo de procesos. 7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</si>
  <si>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https://community.secop.gov.co/Public/Tendering/OpportunityDetail/Index?noticeUID=CO1.NTC.9424991&amp;isFromPublicArea=True&amp;isModal=False</t>
  </si>
  <si>
    <t>vcarvajalcadavid@gmail.com</t>
  </si>
  <si>
    <t>CL 50 NORTE 5 N 55 BRR LA FLORA</t>
  </si>
  <si>
    <t>4121/1.2.1.0.00/2.3.2.02.02.008/63020010002/BP260054601010101</t>
  </si>
  <si>
    <t>4121.010.32.1.046</t>
  </si>
  <si>
    <t>4121.010.26.1.046</t>
  </si>
  <si>
    <t>LIZETH YIRUBA CAICEDO MONTAÑO</t>
  </si>
  <si>
    <t xml:space="preserve">1.107.522.426 de Cali </t>
  </si>
  <si>
    <t>Bachiller Academico y técnico en Comercio, Certificado de aprobación de los 5 años del plan de estudios de la a Facultad de Derecho, Ciencias Políticas y Sociales, Universidad Libre.</t>
  </si>
  <si>
    <t>*Desde 22/sep/2021 hasta 19/nov/2021, 1 mes y 26 dias, Alcaldía de Santiago de Cali- Departamento Administrativo de Gestion Juridica Publica. *Desde 23/jul/2022 hasta 30/dic/2022, 5 meses y 7 días en Alcaldía de Santiago de Cali- Departamento Administrativo de Gestion Juridica Publica. *Desde 18/ene/2022 hasta 30/dic/2022, 5 meses y 12 días, en Alcaldía de Santiago de Cali- Departamento Administrativo de Gestion Juridica Publica. Total: 1 año, 1 mes y 11 días</t>
  </si>
  <si>
    <t>Prestación de servicios de apoyo a la gestión en la digitación y creación de procesos prejudiciales y judiciales dentro del aplicativo del sistema de información de procesos judiciales del Departamento Administrativo de Gestión Jurídica Pública del Distrito Especial de Santiago de Cali. Lo anterior en desarrollo del proyecto de inversión "Fortalecimiento del Ciclo de Defensa Jurídica y de la Política de Mejora Normativa del Distrito Especial de Santiago de Cali BP-26005460"</t>
  </si>
  <si>
    <t>1.Apoyar en la digitación y creación en el aplicativo del sistema de información de procesos judiciales del Departamento Administrativo de Gestión Jurídica Pública, de los procesos prejudiciales y judiciales que le fueran notificadas al organismo. 2. Apoyar en la digitalización, cargue y actualización en el sistema de información de procesos judiciales del Departamento Administrativo de Gestión Jurídica Pública, los documentos inherentes a las actuaciones prejudiciales y judiciales  que le fueran notificadas al organismo. 3. Apoyar en la creación y digitalización de procesos en el módulo Ley 2213 del 2022 del sistema de información de procesos judiciales del Departamento Administrativo de Gestión Jurídica Pública. 4. Proyectar los oficios de la asignación de procesos en el módulo de la Ley 2213 de 2022. 5. Las demás actividades que le asigne el supervisor del contrato y que se encuentren directamente relacionadas con el objeto contractual.</t>
  </si>
  <si>
    <t>https://community.secop.gov.co/Public/Tendering/OpportunityDetail/Index?noticeUID=CO1.NTC.9433486&amp;isFromPublicArea=True&amp;isModal=False</t>
  </si>
  <si>
    <t>liyicam12@gmail.com</t>
  </si>
  <si>
    <t>CR 89 # 17 - 72</t>
  </si>
  <si>
    <t>Procesar y analizar los datos estadísticos de los sistemas de información</t>
  </si>
  <si>
    <t>BP-26005460/1/02/01/05</t>
  </si>
  <si>
    <t>4121/1.2.1.0.00/2.3.2.02.02.008/63020010003/BP260054601020105</t>
  </si>
  <si>
    <t>4121.010.32.1.047</t>
  </si>
  <si>
    <t>4121.010.26.1.047</t>
  </si>
  <si>
    <t>CRHISTIAN CAMILO  GARCÍA ALTAMIRANO</t>
  </si>
  <si>
    <t>1.144.038.825 de Cali</t>
  </si>
  <si>
    <t>Profesional en Estadistica</t>
  </si>
  <si>
    <t>Estadistico de la Universidad del Valle, graduado el 3 de noviembre de 2012</t>
  </si>
  <si>
    <t>*Desde 03/noviembre/2023 hasta 29/diciembre/2023, 1 mes y 26 días en Alcaldía de Santiago Cali. *Desde 12/julio/2023 hasta 31/octubre/2023, 3 meses y 19 días en Alcaldía Santiago de Cali. .*Desde 26/enero/2017 hasta 30/junio/2017, 5 meses y 4 días en Secretaria de Salud- Alcaldía de Cali. *Desde 19/abril/2016 hasta 30/junio/2016, 2 meses y 11 días, Secretaria de Salud- Alcaldía de Cali. *Desde 27/junio/2015 hasta 31/diciembre/2015, 6 meses y 4 dias, Secretaria de Salud- Alcaldía de Cali *Desde 06/febrero/2015 hasta 15/junio/2015, 4 meses y 9 días, Secretaria de Salud- Alcaldía de Cali. Total: 1 año, 11 meses y 13 días</t>
  </si>
  <si>
    <t>Prestación de servicios profesionales como estadístico en el Departamento Administrativo de Gestión Jurídica Pública del Distrito Especial de Santiago de Cali en desarrollo del proyecto de inversión "Fortalecimiento del Ciclo de Defensa Jurídica y de la Política de Mejora Normativa del Distrito Especial de Santiago de Cali" BP-26005460</t>
  </si>
  <si>
    <t xml:space="preserve">1. Apoyar en la formulación, seguimiento y evaluación de metas e indicadores contemplados en el plan de desarrollo y de gestión, especialmente en el diligenciamiento del formato 1S y 3S.
2. Apoyar en la elaboración y análisis estadísticos de la información registrada en los sistemas de información utilizados por el organismo,  y en los de la entidad como el DARUMA y el SPI, los cuales deberán realizarse con periodicidad mensual y/o cuando se requieran. 
3. Atender los requerimientos de solicitud de información estadística que llegan al organismo. 
4. Brindar apoyo a la subdirección de Defensa Judicial y Prevención del Daño Antijurídico en la consolidación del análisis de litigiosidad conforme a la metodología de la ANDJE, en la formulación diseño de indicadores y mecanismos de seguimiento y control.  
5. Preparar el informe mensual de demandas y MASC que debe ser publicado cada mes en la instancia del DAGJ en cumplimiento de las normas de acceso a la información pública y ley de transparencia y garantizar la publicación de esta.  
6. Preparar el informe mensual de contingente judicial que debe remitirse al Departamento Administrativo de Hacienda, conforme a los requerimientos de la oficina de contabilidad pública.  
7. Las demás que sean designadas por el supervisor del contrato y que sean inherentes al objeto contractual. 
</t>
  </si>
  <si>
    <t>https://community.secop.gov.co/Public/Tendering/OpportunityDetail/Index?noticeUID=CO1.NTC.9433890&amp;isFromPublicArea=True&amp;isModal=False</t>
  </si>
  <si>
    <t>crhistiancamilog@gmail.com</t>
  </si>
  <si>
    <t>CALLE 34 # 24 D 26</t>
  </si>
  <si>
    <t>x</t>
  </si>
  <si>
    <t>4121.010.32.1.048</t>
  </si>
  <si>
    <t>4121.010.26.1.048</t>
  </si>
  <si>
    <t>CAROLINA ZAPATA BELTRÁN</t>
  </si>
  <si>
    <t>1.130.588.229 de Cali</t>
  </si>
  <si>
    <t>Abogada de la Universidad Cooperativa de Colombia,  graduada el 6/sep/2013</t>
  </si>
  <si>
    <t>236047 Expedida por el Consejo Superior de la Judicatura el 21 de noviembre de 2013</t>
  </si>
  <si>
    <t xml:space="preserve">*Desde 24/enero/2025 hasta 30/junio/2025,  5 meses y 6 días, en Alcaldia de Santiago de Cali. * Desde 01/abr/2019 hasta 19/dic/2019, 8 meses, y 18 días en Sociedad Mejia y Asociados Abogados Especializados S.A.S..* Desde 22/mar/2019 hasta 31/mayo/2019, 2 meses y 9 días, en el Departamento del Valle del Cauca. *Desde 22/jun/2019 hasta 31/dic/2019, 6 meses y 8 días en el Departamento del Valle del Cauca. Total 1 año, 10 mes y 11 días. </t>
  </si>
  <si>
    <t xml:space="preserve"> Prestación de servicios profesionales como Abogado llevando a cabo actividades de representación judicial para el Departamento Administrativo de Gestión Jurídica Pública en el marco del proyecto de inversión denominado "Fortalecimiento del Ciclo de Defensa Jurídica y de la Política de Mejora Normativa del Distrito Especial de Santiago de Cali BP-26005460"</t>
  </si>
  <si>
    <t>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Proyectar los oficios de cumplimiento de sentencias constitucionales y apertura de incidentes de desacato, y los decretos de cumplimiento de sentencias y de delegación en acciones populares, en las cuales se haya vinculado al Distrito Especial de Santiago de Cali. 5. Proyectar respuestas, oficios y circulares sobre incidentes de desacato, cumplimiento de sentencias y acciones populares que le sean asignados. 6. Apoyar en la actualización de la base de seguimiento de incidentes de desacato. 7.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</si>
  <si>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https://community.secop.gov.co/Public/Tendering/OpportunityDetail/Index?noticeUID=CO1.NTC.9430081&amp;isFromPublicArea=True&amp;isModal=False</t>
  </si>
  <si>
    <t>cejcaro@gmail.com</t>
  </si>
  <si>
    <t>4121.010.32.1.049</t>
  </si>
  <si>
    <t>4121.010.26.1.049</t>
  </si>
  <si>
    <t>CAMILA ANDREA BRAVO RÍOS</t>
  </si>
  <si>
    <t>1.144.208.703 de Cali</t>
  </si>
  <si>
    <t>Estudiante de décimo semestre de la Facultad de Derecho de la Universidad Cooperativa de Colombia</t>
  </si>
  <si>
    <t>*Desde el 5/02/2022 al 31/12/2022, 10 mesesy 26 dias, en Luz Piedad López Mesa ABOGADA. *Desde el 22/02/2023 al 31/10/2023, 8 meses y 9 dias, en la Secretaría de Desarrollo Social y Participación del Departamento del Valle del Cauca. Total: 1 año, 7 meses y 5 días</t>
  </si>
  <si>
    <t>Prestación de servicios de apoyo a la gestión en la digitación y creación de procesos prejudiciales y judiciales   dentro del aplicativo del sistema de información de procesos judiciales del Departamento Administrativo de Gestión Jurídica Pública del Distrito Especial de Santiago de Cali. Lo anterior en desarrollo del proyecto de inversión "Fortalecimiento del Ciclo de Defensa Jurídica y de la Política de Mejora Normativa del Distrito Especial de Santiago de Cali BP-26005460"</t>
  </si>
  <si>
    <t>https://community.secop.gov.co/Public/Tendering/OpportunityDetail/Index?noticeUID=CO1.NTC.9425214&amp;isFromPublicArea=True&amp;isModal=False</t>
  </si>
  <si>
    <t>camila123071@hotmail.com</t>
  </si>
  <si>
    <t xml:space="preserve">CARRERA 1 C  # 61 69 Carrera 1c1 # 61-69 </t>
  </si>
  <si>
    <t>4121.010.32.1.050</t>
  </si>
  <si>
    <t>4121.010.26.1.050</t>
  </si>
  <si>
    <t>VICTOR MANUEL SÁNCHEZ RAMÍREZ</t>
  </si>
  <si>
    <t>Bachiller Técnico Industrial Mecánica Automoviliaria del Instituto Técnico Industrial Antonio Jose Camacho, graduado el 09/07/1988</t>
  </si>
  <si>
    <t>*Desde 20/noviembre/2024 hasta 30/diciembre/2024, 1 mes y 11 días, en la Alcaldía de Santiago de Cali-Departamento Administrativo de Gestión Jurídica Pública. *Desde 14/junio/2024 hasta 31/octubre/2024, 4 mes y 17 días, en la Alcaldía de Santiago de Cali-Departamento Administrativo de Gestión Jurídica Pública. *Desde 25/enero/2024 hasta 30/abril/2024, 3 mes y 6 días, en la Alcaldía de Santiago de Cali-Departamento Administrativo de Gestión Jurídica Pública. *Desde 11/julio/2023 hasta 29/diciembre/2023, 5 mes y 18 días, en la Alcaldía de Santiago de Cali-Departamento Administrativo de Gestión Jurídica Pública. *Desde 13/mayo/2023 hasta 30/junio/2023, 1 mes y 18 días, en la Alcaldía de Santiago de Cali-Departamento Administrativo de Gestión Jurídica Pública. *Desde 21/enero/2023 hasta 30/abril/2023, 3 mes y 10 días, en la Alcaldía de Santiago de Cali-Departamento Administrativo de Gestión Jurídica Pública. *Desde 24/enero/2022 hasta 30/junio/2022, 5 mes y 7 días, en la Alcaldía de Santiago de Cali-Departamento Administrativo de Gestión Jurídica Pública. Total: 2 años y 27 días.</t>
  </si>
  <si>
    <t>Prestación de servicios de apoyo a la gestión dentro del trámite de pago de sentencias, laudos y conciliaciones y liquidaciones de crédito que deba adelantar el Departamento Administrativo de Gestión Jurídica Pública del Distrito Especial de Santiago de Cali</t>
  </si>
  <si>
    <t>1.Apoyar en la elaboración de comunicaciones a los diferentes organismos de la Administración Central Distrital para el trámite del pago de sentencia, laudos arbitrales o conciliación de conformidad con el procedimiento establecido por la entidad.
2.Apoyar cuando se le requiera, a los apoderados judiciales de los diferentes organismos de la Administración Distrital, en la revisión de las liquidaciones de los créditos judiciales reconocidos dentro de los procesos judiciales donde se encuentre vinculado el Distrito Especial de Santiago de Cali. 
3. Apoyar en la elaboración de los oficios, requerimientos, repuestas a derechos de petición o circulares relacionadas con el trámite de pagos de sentencias, laudos arbitrales, conciliaciones y costas judiciales. 
4.  Brindar apoyo a la Subdirección de Defensa Judicial y Prevención del Daño antijurídico en la creación y/o digitación de los procesos judiciales o acciones constitucionales en sistema de de registro de procesos judiciales del Distrito, cuando sea requerido. 5.  Las demás actividades que le asigne el supervisor del contrato y que se encuentren directamente relacionadas con el objeto contractual</t>
  </si>
  <si>
    <t>https://community.secop.gov.co/Public/Tendering/OpportunityDetail/Index?noticeUID=CO1.NTC.9433296&amp;isFromPublicArea=True&amp;isModal=False</t>
  </si>
  <si>
    <t>v.mansa@hotmail.com</t>
  </si>
  <si>
    <t>CR 23 B 15 B 23 BRR ARANJUEZ</t>
  </si>
  <si>
    <t xml:space="preserve">PROFESIONAL ESPECIALIZADO </t>
  </si>
  <si>
    <t>4121.010.32.1.051</t>
  </si>
  <si>
    <t>4121.010.26.1.051</t>
  </si>
  <si>
    <t>LEONARDO LIZARAZO PARRA</t>
  </si>
  <si>
    <t>6.105.683 de Cali</t>
  </si>
  <si>
    <t>Abogado de la Universidad San Buenaventura, graduado el 23 de junio de 2006.  Especialista en  Derecho Penal de la Universidad Santiago de Cali el 14/diciembre/2021</t>
  </si>
  <si>
    <t>150967 - Expedida por el Consejo Superior de la Judicatura el 31 de julio de 2006.</t>
  </si>
  <si>
    <t>*Desde 27/nov/2020 hasta 28/dic/2020, 1 mes y 1 dia, Alcaldía de Santiago de Cali. *Desde 07/abr/2017 hasta 06/abr/2019, 1 año y 11 meses y 28 dias JUZGADO QUINTO PENAL DE ADOLECENTES CON FUNCION DE CONOCMIENTO DE CALI. *Desde 28/nov/2016 hasta 05/abr/2017, 5 meses y 6 dias JUZGADO QUINTO PENAL DE ADOLECENTES CON FUNCION DE CONOCMIENTO DE CALI. Total: 2 años, 6 meses y 5 días.</t>
  </si>
  <si>
    <t>Prestación de servicios profesionales como Abogado  especializado llevando a cabo actividades de representación judicial y análisis de la procedencia o no de la acción de repetición para el Departamento Administrativo de Gestión Jurídica Pública en el marco del proyecto de inversión denominado "Fortalecimiento del Ciclo de Defensa Jurídica y de la Política de Mejora Normativa del Distrito Especial de Santiago de Cali BP-26005460"</t>
  </si>
  <si>
    <t>Veinticuatro millones novecientos ochenta y ocho mil pesos m/cte</t>
  </si>
  <si>
    <t>https://community.secop.gov.co/Public/Tendering/OpportunityDetail/Index?noticeUID=CO1.NTC.9425134&amp;isFromPublicArea=True&amp;isModal=False</t>
  </si>
  <si>
    <t>leonardolizarazoparra@gmail.com</t>
  </si>
  <si>
    <t>CALLE 1 A # 69 - 31 Casa</t>
  </si>
  <si>
    <t>4121.010.32.1.052</t>
  </si>
  <si>
    <t>4121.010.26.1.052</t>
  </si>
  <si>
    <t>RAÚL SUAREZ ARCILA</t>
  </si>
  <si>
    <t>16928229 de Cali</t>
  </si>
  <si>
    <t>Abogado de la Universidad San Buenaventura, graduado el 20/junio/2003. Magister en Derecho de Negocios Internacionales  graduado el 7/julio/2005 por la Universidad VRIJE UNIVERSITEIT AMSTERDAM PAISES BAJOS, convalidada por el Ministerio de Educación Nacional de Colombia el 02 de julio de 2015. Magister en Derecho de la Empresa de la Universidad de Alcalá de España graduado el 21 de febrero de 2013, convalidada por el Ministerio de Educación de Colombia el 18 de agosto de 2015</t>
  </si>
  <si>
    <t>123625 - Expedida por el Consejo Superior de la Judicatura el 18 de julio de 2003.</t>
  </si>
  <si>
    <t>*Desde 05/sep/2025 hasta 29/dic/2025, 3 meses y 23 días, en Alcaldía de Santiago de Cali.*Desde 15/feb/2025 hasta 29/agos/2025, 6 meses y 12 dìas, en Alcaldía de Santiago de Cali. *Desde 13/nov/2024 hasta 31/dic/2024, 1 mes y 17 días en Alcaldía de Santiago de Cali.*Desde 28/Jun/2024 hasta 31/Oct/2024, 4 meses y 3 días en Alcaldía de Santiago de Cali. *Desde 01/ago/2022 hasta 02/abr/2024, 1 año, 8 meses, y 1 día en Motores del Valle en Reorganización MOTOVALLE S.A.S. * Desde 03/ene/2019 hasta 16/sep/2019, 8 meses y 13 días en METRO CALI S.A*Desde 22/ago/2016 hasta 31/dic/2016,  4 meses y 9 días en Superintendencia Industria y Comercio. Total: 4 años y 18 días.</t>
  </si>
  <si>
    <t xml:space="preserve">Prestación de servicios profesionales como Abogado  especializado  brindando soporte en la gestión de las actividades desarrolladas en la subdirección de Doctirna y Asuntos Normativos asi como en  el despacho del Departamento Administrativo de Gestión Jurídica Pública, </t>
  </si>
  <si>
    <t>Cuarenta y dos millones doscientos dieciseis mil pesos m/cte</t>
  </si>
  <si>
    <t>https://community.secop.gov.co/Public/Tendering/OpportunityDetail/Index?noticeUID=CO1.NTC.9410261&amp;isFromPublicArea=True&amp;isModal=False</t>
  </si>
  <si>
    <t>rausuar@yahoo.com</t>
  </si>
  <si>
    <t>4121.010.32.1.053</t>
  </si>
  <si>
    <t>4121.010.26.1.053</t>
  </si>
  <si>
    <t>JHON GEILER SEGURA ANGULO</t>
  </si>
  <si>
    <t>1130612639 de Cali</t>
  </si>
  <si>
    <t xml:space="preserve">Abogado de la Universidad Cooperativa de Colombia, graduado el 24/agosto/2023. </t>
  </si>
  <si>
    <t>417699 - Expedida por el Consejo Superior de la Judicatura el 10/11/2023.</t>
  </si>
  <si>
    <t>*Desde 4/ene/2023 hasta 31/dic/2023, 11 meses y 27 días en la Fundación Soñar Colombia. *Desde 9/ene/2024 hasta 31/12/2024, 11 meses y 22 días en la Fundación Soñar Colombia. Total 1 año, 11 meses y 19 días.</t>
  </si>
  <si>
    <t>Doce (12) meses de Experiencia profesional</t>
  </si>
  <si>
    <t>1. Brindar apoyo a la Subdirección de Defensa Judicial y Prevención del Daño Antijurídico en la proyección de las contestaciones de las acciones constitucionales y/o procesos judiciales que se interpongan en contra del Distrito Especial de Santiago de Cali, cuando sea requerido. 2. Brindar apoyo en la digitación y creación en el aplicativo del sistema de información de procesos judiciales del Departamento Administrativo de Gestión Jurídica Pública, de las acciones constitucionales y/o procesos judiciales que le sean notificados al organismo, cuando se requiera. 3. Brindar apoyo en la digitalización, cargue y actualización en el sistema de información de procesos judiciales del Departamento Administrativo de Gestión Jurídica Pública, los documentos inherentes a las actuaciones constitucionales que le fueran notificadas al organismo y que le fuesen asignadas 4.Apoyar al grupo de tutelas en la unificacion de pdf y enviar a los diferentes apoderados para la respectiva depuracion de acciones constitucionales en el aplicativo de procesos 5.Las demás actividades que le asigne el supervisor del contrato y que se encuentren directamente relacionadas con el objeto contractual.</t>
  </si>
  <si>
    <t>Diecinueve millones doscientos veinte mil pesos m/cte</t>
  </si>
  <si>
    <t>https://community.secop.gov.co/Public/Tendering/OpportunityDetail/Index?noticeUID=CO1.NTC.9433528&amp;isFromPublicArea=True&amp;isModal=False</t>
  </si>
  <si>
    <t>yhaviers8@gmail.com</t>
  </si>
  <si>
    <t>4121.010.32.1.054</t>
  </si>
  <si>
    <t>4121.010.26.1.054</t>
  </si>
  <si>
    <t>BRIGITTE KATHERINE POTES MUÑOZ</t>
  </si>
  <si>
    <t>1.144.105.059 de Cali</t>
  </si>
  <si>
    <t>Administradora de Empresas de la Universidad Unicatolica graduada el 30/nov/2022</t>
  </si>
  <si>
    <t>195255 del Consejo Profesional de Administracion de Empresas, expedida el 9 de septiembre del 2024</t>
  </si>
  <si>
    <t>Prestación de servicios profesionales como administrador de empresas en el Departamento Administrativo de Gestión Jurídica Pública, especialmente en las actividades de administración del talento humano y el modelo de operacion por procesos.</t>
  </si>
  <si>
    <t>1. Brindar apoyo en el en la transcripción del seguimiento a los acuerdos de gestión de los funcionarios públicos del Departamento Administrativo de Gestión Jurídica Pública. 2. Brindar apoyo en las actividades administrativas necesarias para la gestión del Modelo Operativo de Procesos. 3. Brindar apoyo en el registro de novedades de personal en el Sistema de Gestión Administrativa y Financiera Territorial (SGAFT). 4. Apoyar en la actualización de la información para la elaboración de los Certificados de los contratos de prestación de servicios. 5. Brindar apoyo en la proyección de las evaluaciones laborales de desempeño. 6. Brindar apoyo en la elaboración de los actos administrativos de novedades administrativas del personal adscrito al Departamento Administrativo de Gestión Jurídica Pública. 7. Brindar apoyo en la verificación de la realización de la  inducción y reinducción del personal nuevo del Departamento Administrativo de Gestión Jurídica Pública. 8. Brindar apoyo en la actividad correspondiente al seguimiento al plan de trabajo y de mejoramiento, así como en el plan anticorrupción y de atención al ciudadano. 9. Las demás actividades que le asigne el supervisor del contrato y que se encuentren directamente relacionadas con el objeto contractual.</t>
  </si>
  <si>
    <t>Quince millones setecientos ochenta y ocho mil pesos m/cte</t>
  </si>
  <si>
    <t>Tres millones novecientos cuarenta y siete mil pesos m/cte</t>
  </si>
  <si>
    <t>https://community.secop.gov.co/Public/Tendering/OpportunityDetail/Index?noticeUID=CO1.NTC.9446072&amp;isFromPublicArea=True&amp;isModal=False</t>
  </si>
  <si>
    <t>potes2798@gmail.com</t>
  </si>
  <si>
    <t>4121.010.32.1.055</t>
  </si>
  <si>
    <t>4121.010.26.1.055</t>
  </si>
  <si>
    <t>ELIZABETH LÓPEZ LÓPEZ</t>
  </si>
  <si>
    <t>66757700 de Palmira</t>
  </si>
  <si>
    <t xml:space="preserve">Título de Bachiller </t>
  </si>
  <si>
    <t>Bachiler académico del Colegio Leonítico la Merced, graduada el 25/06/1988</t>
  </si>
  <si>
    <t xml:space="preserve">*Desde el 8/ago/2006 al 17/dic/2008, 2 años, 4 meses, y 9 días en BEL STAR S.A. *Desde el 2/feb/2009 al 31/may/2010, 1 años, 3 meses, y 29 días en LA SANTÉ. *Desde el 16/ago/2011 al  31/may/2013, 1 años, 9 meses, y 15 días en LA ASCENSIÓN  S.A.  *Desde el 20 de Marzo de 2024 hasta el 30 de Abril de 2024, 10 dias Alcaldía de Santiago de Cali.  *Desde el 07 de Mayo de 2024 hasta el 31 de Octubre de 2024, 5 meses y 24 días, en Alcaldía Santiago de Cali. Desde el 15 de Noviembre de 2024 hasta el 30 de Diciembre de 2024, 1 mes, y 15 días. Total:6 años, 1 mes y 12 días.
  </t>
  </si>
  <si>
    <t>Prestación de servicios de apoyo a la gestión en el archivo  de procesos judiciales del Departamento Administrativo de Gestión Jurídica Pública del Distrito Especial de Santiago de Cali.</t>
  </si>
  <si>
    <t>1.  Apoyar en el control, seguimiento y custodia del acervo documental a cargo.  2.  Escanear, depurar, organizar, foliar, encarpetar la documentación de los expedientes contractuales o judiciales según se le asigne, de acuerdo con el procedimiento de gestión documental y cargar las piezas procesales que acreditan la intervención del DAGJP en los módulos del sistema de proceso judiciales, conforme a las instrucciones impartidas por el DAGJP y la Subdirección de Tramites, Servicios y Gestión Documental del Departamento Administrativo de Desarrollo e Innovación Institucional, en el marco del proceso de Gestión documental en la fase de digitalización y microfilmación de la información del archivo de gestión e inactivo del Departamento Administrativo de Gestión Jurídica Pública de la Alcaldía .3.  Diligenciar el formato único de inventario documental de la información del archivo de gestión de acuerdo con la TRD de la entidad. 4.  Las demás actividades que le asigne el supervisor del contrato y que se encuentren directamente relacionadas con el objeto contractual.</t>
  </si>
  <si>
    <t>https://community.secop.gov.co/Public/Tendering/OpportunityDetail/Index?noticeUID=CO1.NTC.9426475&amp;isFromPublicArea=True&amp;isModal=False</t>
  </si>
  <si>
    <t>elizalopez2021@gmail.com</t>
  </si>
  <si>
    <t>CALLE 18 A # 50 97</t>
  </si>
  <si>
    <t>4121.010.32.1.056</t>
  </si>
  <si>
    <t>4121.010.26.1.056</t>
  </si>
  <si>
    <t>MARÍA FERNANDA MURILLO GONZÁLEZ</t>
  </si>
  <si>
    <t>67.019.876 de Cali</t>
  </si>
  <si>
    <t>Bachiller Académico del Instituto Femenino de PriMARÍA Comercio y Artes de Cali, graduada el 05/07/1997</t>
  </si>
  <si>
    <t>*Desde el 19/abr/2010 al  24/oct/2022, 12 años, 6 meses, y 5 días. en INGEMAG-Ingenieria de mantenimiento global S.A.S *Desde el 20/feb/2023 al 28/abr/2023, 2 meses, y 8 días, en el Distrito de Santiago de Cali. *Desde el 24/may/2023 al 28/dic/2023, 7 meses y 4 días en el Departamento Administrativo de Control Disciplinario Interno del Distrito de Santiago de Cali. Desde el 02 de Abril de 2024 hasta el 30 de Abril de 2024, 28 dias, en Alcaldía Santiago de Cali. Desde el 07 de Mayo de 2024 hasta el 31 de Octubre de 2024, 5 meses y 24 días, en Alcaldía de Santiago de Cali. Desde el 18 de Noviembre de 2024 hasta el 30 de Diciembre de 2024, 1 mes y 12 días, en Alcaldía de Santiago de Cali. Total: 14 años 
y 1 día.</t>
  </si>
  <si>
    <t>Prestación de servicios de apoyo a la gestión en lo relacionado con la organización de los documentos correspondientes al archivo de gestión del Departamento Administrativo de Gestión Jurídica Pública del Distrito Especial de Santiago de Cali.</t>
  </si>
  <si>
    <t>1.  Apoyar en el control, seguimiento y custodia del acervo documental a cargo. 2.  Escanear, depurar, organizar, foliar, encarpetar la documentación de los expedientes contractuales o judiciales según se le asigne, de acuerdo con el procedimiento de gestión documental y cargar las piezas procesales que acreditan la intervención del DAGJP en los módulos del sistema de proceso judiciales, conforme a las instrucciones impartidas por el DAGJP y la Subdirección de Tramites, Servicios y Gestión Documental del Departamento Administrativo de Desarrollo e Innovación Institucional, en el marco del proceso de Gestión documental en la fase de digitalización y microfilmación de la información del archivo de gestión e inactivo del Departamento Administrativo de Gestión Jurídica Pública de la Alcaldía. 3.  Diligenciar el formato único de inventario documental de la información del archivo de gestión de acuerdo con la TRD de la entidad. 4.  Las demás actividades que le asigne el supervisor del contrato y que se encuentren directamente relacionadas con el objeto contractual.</t>
  </si>
  <si>
    <t>Once millones ciento sesenta y ocho mil pesos m/cte</t>
  </si>
  <si>
    <t>https://community.secop.gov.co/Public/Tendering/OpportunityDetail/Index?noticeUID=CO1.NTC.9446390&amp;isFromPublicArea=True&amp;isModal=False</t>
  </si>
  <si>
    <t>ma.fer.mu@hotmail.com</t>
  </si>
  <si>
    <t>cra 1a3a 70cbis 16</t>
  </si>
  <si>
    <t>726 del ocho (08) de octubre de dos mil veinticuatro (2024)</t>
  </si>
  <si>
    <t>4121.010.32.1.057</t>
  </si>
  <si>
    <t>4121.010.26.1.057</t>
  </si>
  <si>
    <t>JULIAN ANTONIO SANDOVAL JIMÉNEZ</t>
  </si>
  <si>
    <t>1.130.605.142 de Cali</t>
  </si>
  <si>
    <t>Abogado de la Universidad Santiago de Cali, graduado el 08/marzo/2010</t>
  </si>
  <si>
    <t>192457 - Expedida por el Consejo Superior de la Judicatura el 08/07/2010.</t>
  </si>
  <si>
    <t>*Desde el 30/enero/2013 hasta el 30/diciembre 2013, 11 meses en el Ministerio de Defensa Nacional Comando General fuerzas Militares - Tercera Brigada. *Desde el 14/abril/2016 hasta el 31/diciembre/2016, 8 meses y 17 días, en el Ejercito Nacional - Central Administrativa y Contable. Total: 1 año, 7 meses y 17 días.</t>
  </si>
  <si>
    <t>Prestación de servicios profesionales como Abogado, brindando soporte en el Departamento Administrativo de Gestión Jurídica Pública especificamente en la Subdirección de Defensa Judicial y Prevención del Daño Antijurídico en las actividades correspondientes a la revisión y trámite de pago de sentencias, laudos arbitrales, conciliaciones, costas y demás,  que deba realizar el Distrito Especial de Santiago de Cali, en el marco del proyecto de inversión denominado "Fortalecimiento del Ciclo de Defensa Jurídica y de la Política de Mejora Normativa del Distrito Especial de Santiago de Cali BP-26005460"</t>
  </si>
  <si>
    <t>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</si>
  <si>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https://community.secop.gov.co/Public/Tendering/OpportunityDetail/Index?noticeUID=CO1.NTC.9446383&amp;isFromPublicArea=True&amp;isModal=False</t>
  </si>
  <si>
    <t>juridica.juliansandoval@gmail.com</t>
  </si>
  <si>
    <t>4121.010.32.1.058</t>
  </si>
  <si>
    <t>4121.010.26.1.058</t>
  </si>
  <si>
    <t xml:space="preserve">JUAN JOSÉ GARCÍA CASALLAS </t>
  </si>
  <si>
    <t>1.006.171.406 de Cali</t>
  </si>
  <si>
    <t>Bachiller Técnico del Colegio León de Greiff, graduado el 13/julio/2019</t>
  </si>
  <si>
    <t>*Desde el 05/enero/2024 hasta el 10/enero/2025, 1 año y 5 días. con el Abogado Juan Gabriel López Paz. Total: 1 año y 5 dias.</t>
  </si>
  <si>
    <t>Prestación de servicios de apoyo a la gestión de la actividades administrativas y de sustanción realizadas por los abogados que ejercen la defensa y representación judicial de la Subdirección de Defensa Jurídica y Prevencón del Daño Antijurídico del Departamento Administrativo de Gestión Jurídica Pública del Distrito Especial de Santiago de Cali.</t>
  </si>
  <si>
    <t>1.Brindar apoyo en la digitación y creación en el aplicativo del sistema de información de procesos judiciales del Departamento Administrativo de Gestión Jurídica Pública, de los procesos prejudiciales, judiciales y acciones constitucionales que le fueran notificadas al  Distrito. 2. Apoyar en la digitalización, cargue y actualización en el sistema de información de procesos judiciales del Departamento Administrativo de Gestión Jurídica Pública, los documentos inherentes a las actuaciones prejudiciales, judiciales y/o constitucionales que le fueran notificadas al Distrito. 3. Brindar apoyo en la  asignación de acciones constitucionales dentro del sistema de información de procesos judiciales del Departamento Administrativo de Gestión Jurídica Pública. 4. Brindar apoyo cuando se le requiera, en la consecución de los antecedentes administrativos requeridos para la sustanciación de la contestación de las demandas o acciónes Constitucionales.  5. Las demás actividades que le asigne el supervisor del contrato y que se encuentren directamente relacionadas con el objeto contractual.</t>
  </si>
  <si>
    <t>Nueve millones ochenta y cuatro mil pesos m/cte</t>
  </si>
  <si>
    <t>https://community.secop.gov.co/Public/Tendering/OpportunityDetail/Index?noticeUID=CO1.NTC.9453166&amp;isFromPublicArea=True&amp;isModal=False</t>
  </si>
  <si>
    <t>juanjogarcas@hotmail.com</t>
  </si>
  <si>
    <t>4121.010.32.1.059</t>
  </si>
  <si>
    <t>4121.010.26.1.059</t>
  </si>
  <si>
    <t>DIANA CAROLINA RODRÍGUEZ TIGREROS</t>
  </si>
  <si>
    <t>31.578.033 de Cali</t>
  </si>
  <si>
    <t>Abogada de la Universidad Santiago de Cali, graduada el 16/noviembre/2004. Especialista en Derecho Administrativo de la Universidad Santiago de Cali graduada el 06/diciembre /2010.</t>
  </si>
  <si>
    <t>139339 - Expedida por el Consejo Superior de la Judicatura el 02/05/2005.</t>
  </si>
  <si>
    <t>*Desde 19/mayo/2023 hasta 29/dic/2023, 7 meses y 10 días, en la Alcaldía de Santiago de Cali-Departamento Administrativo de Hacienda.*Desde el 18/enero/2023 hasta 28/abril/2023, 3 meses y 11 días, en la Alcaldía de Santiago de Cali-Departamento Administrativo de Hacienda. * Desde 10/octubre/2022 hasta 30/diciembre/2022, 2 meses y 21 días, en la Alcaldía de Santiago de Cali-Departamento Administrativo de Hacienda. *29/julio/2022 hasta el 30/septiembre/2022, 2 meses y 2 días, en la Alcaldía de Santiago de Cali-Departamento Administrativo de Hacienda. *Desde 20/enero/2022 hasta 30/junio/2022, 5 meses y 9 días, en la Alcaldía de Santiago de Cali-Departamento Administrativo de Hacienda. *Desde 19/julio/2021 hasta 31/diciembre/2021, 5 meses y 13 días, en la Alcaldía de Santiago de Cali-Departamento Administrativo de Hacienda. Total 2 años, 1 mes y 26 días.</t>
  </si>
  <si>
    <t>Prestación de servicios profesionales como Abogado Especializado, brindando soporte en la realización de las actividades de defensa judicial y administrativas desarrolladas en la Subdirección de Defensa Judicial y Prevención del Daño Antijurídico  del Distrito Especial de Santiago de Cali, en el marco del proyecto de inversión denominado "Fortalecimiento del Ciclo de Defensa Jurídica y de la Política de Mejora Normativa del Distrito Especial de Santiago de Cali BP-26005460"</t>
  </si>
  <si>
    <t>1.Ejercer la representación judicial de los intereses del Distrito Especial de Santiago de Cali, cuando sea requerido. 2. Brindar apoyo a la Subdirección de Defensa Judicial y Prevención del Daño Antijuridico del Departamento Administrativo de Gestión Jurídica Pública en el estudio y análisis de las acciones de repetición. 3.Brindar apoyo profesional en la revisión de fichas técnicas, convocatorias y organización de las sesiones del Comité de Conciliación y Defensa Judicial. 4. Proyectar las actas de reunión de las sesiones ordinarias y extraordinarias que realice el Comité de Conciliación y Defensa Judicial del Distrito Especial de Santiago de Cali. 5. Proyectar las actas del Comité de Conciliación y Defensa Judicial del Distrito Especial de Santiago de Cali que deban presentar los apoderados judiciales dentro de las etapa prejudiciales y judiciales donde el Distrito Especial de Santiago de Cali se encuentre vinculado. 6.Proyectar los informes que el Comité de Conciliación y Defensa Judicial debe presentar al señor Alcalde del Distrito de Santiago de Cali y Órganos de Control 7. Las demás actividades que le asigne el supervisor del contrato y que se encuentren relacionadas con el objeto del mismo.</t>
  </si>
  <si>
    <t>https://community.secop.gov.co/Public/Tendering/OpportunityDetail/Index?noticeUID=CO1.NTC.9434308&amp;isFromPublicArea=True&amp;isModal=False</t>
  </si>
  <si>
    <t>dicaroti8033@hotmail.com</t>
  </si>
  <si>
    <t>4121.010.32.1.060</t>
  </si>
  <si>
    <t>4121.010.26.1.060</t>
  </si>
  <si>
    <t>ELIZABETH FLÓREZ MURILLO</t>
  </si>
  <si>
    <t>66.861.829 de Cali</t>
  </si>
  <si>
    <t>Bachiller Comercial de la Institución CENALC - Centro Educacional y de Capacitación Comercial  de la ciudad de  Cali, graduada el 24/abril/1996</t>
  </si>
  <si>
    <t>Con título de bachiller no requiere experiencia. Sin título de bachiller doce (12) meses de experiencia laboral.</t>
  </si>
  <si>
    <t>Prestación de servicios de apoyo a la gestión de las actividades correspondientes a los servicios generales y de organización de las instalaciones del Departamento Administrativo de Gestión Jurídica Pública del Distrito Especial de Santiago de Cali.</t>
  </si>
  <si>
    <t>1. Brindar apoyo en la realización de las actividades de aseo y mantenimiento de las instalaciones fisicas del Departamento Administrativo de Gestión Jurídica Pública. 2. Brindar apoyo en la realización de las actividades de  aseo de la Oficina del Director(a). 3. Brindar apoyo en a conservación y seguridad de los elementos suministrados para la ejecución de las actividades de servicios generales que le sean requeridas. 4. Brindar apoyo en las actividades de  limpieza y desinfección de la ornamentación del organismo. 5. Brindar apoyo en la preparación y  suministro de bebidas tales como agua, tinto y/o  aromáticas requeridas por los funcionarios, contratistas y usuarios externos e internos del Departamento Administrativo de Gestión Jurídica Pública. 6. Atender las demás solicitudes y/o actividades que realice el (la) Director (a) del Departamento Administrativo de Gestión Jurídica Pública ó el supervisor relacionadas con el objeto del contrato.</t>
  </si>
  <si>
    <t>Doce millones seiscientos cincuenta y cuatro mil pesos m/cte</t>
  </si>
  <si>
    <t>Dos millones ciento nueve mil pesos m/cte</t>
  </si>
  <si>
    <t>https://community.secop.gov.co/Public/Tendering/OpportunityDetail/Index?noticeUID=CO1.NTC.9413849&amp;isFromPublicArea=True&amp;isModal=False</t>
  </si>
  <si>
    <t xml:space="preserve">tulipzbeth0873@gmail.com
</t>
  </si>
  <si>
    <t>CARRERA 26 J No.97-09</t>
  </si>
  <si>
    <t>4121.010.32.1.061</t>
  </si>
  <si>
    <t>4121.010.26.1.061</t>
  </si>
  <si>
    <t>DANIELA VALENTINA ROJAS CASTRO</t>
  </si>
  <si>
    <t>1.006.054.181 de Palmira</t>
  </si>
  <si>
    <t>Bachiller Técnico en Comercio, Contabilización de Operaciones Comerciales y Financieras, graduado el 07/Diciembre/2017, en el Colegio Nuestra Señora de Fátima</t>
  </si>
  <si>
    <t xml:space="preserve">Prestación de servicios de apoyo a la gestión en la Subdirección de Defensa Judicial y Prevención del Daño Antijurídico específicamente en  lo relacionado con la alimentación del Sistema de Información de Procesos Judiciales del Distrito. </t>
  </si>
  <si>
    <t>Ocho millones cuatrocientos treinta y seis mil pesos m/cte</t>
  </si>
  <si>
    <t>https://community.secop.gov.co/Public/Tendering/OpportunityDetail/Index?noticeUID=CO1.NTC.9433709&amp;isFromPublicArea=True&amp;isModal=False</t>
  </si>
  <si>
    <t>rojascastro.abogada@gmail.com</t>
  </si>
  <si>
    <t>CALLE 66 No.1-399</t>
  </si>
  <si>
    <t xml:space="preserve">BP-26005460/1/01/01/06
</t>
  </si>
  <si>
    <t xml:space="preserve">4121/1.2.1.0.00/2.3.2.02.02.008/63020010002/BP260054601010106
</t>
  </si>
  <si>
    <t>4121.010.32.1.062</t>
  </si>
  <si>
    <t>4121.010.26.1.062</t>
  </si>
  <si>
    <t xml:space="preserve">SANDRA  PATRICIA LOPEZ SALINAS </t>
  </si>
  <si>
    <t>Abogada de la Universidad Santiago de Cali graduada el 25/mayo/2007</t>
  </si>
  <si>
    <t>170779 del Consejo Superior de la Judicatura, expedida el 21/julio/2008</t>
  </si>
  <si>
    <t>*Desde 04/febrero/2016 hasta 31/agosto/2016, 6 meses y 24 días en la Alcaldía de Santiago de Cali.*Desde 16/septiembre/2016 hasta 31/diciembre/2016, 3 meses y 15 días en la Alcaldía de Santiago de Cali.*Desde 14/septiembre/2018 hasta 31/diciembre/2018, 3 meses y 17 días en la Alcaldía de Santiago de Cali. *Desde 28/enero/2019 hasta 30/abril/2019, 3 meses y 2 días en la Alcaldía de Santiago de Cali. Total 1 año, 1 mes y 13 dias</t>
  </si>
  <si>
    <t>Prestación de servicios profesionales como abogado, brindando apoyo en la ejecución de las actividades desarrolladas en la Subdirección de Doctrina y Asuntos Normativos del Departamento Administrativo de Gestión Jurídica Pública del Distrito Especial de Santiago de Cali, especificamente en las actividades relacionadas la Política de Mejora Normativa en el marco del proyecto de inversión denominado "Fortalecimiento del Ciclo de Defensa Jurídica y de la Política de Mejora Normativa del Distrito Especial de Santiago de Cali" BP-26005460"</t>
  </si>
  <si>
    <t>1. Proyectar y revisar los actos administrativos tales como Decretos, Resoluciones, Circulares entre otros, a partir de la aplicación de las normas, jurisprudencia y doctrina; asignados por el Director de Gestión Jurídica y/o supervisor. 
 2. Revisar los documentos desde su dimensión legal que deban ser sancionados o suscritos por el Alcalde Municipal, asignados por el supervisor y sin perjuicio de la aprobación técnico- jurídica, presupuestal que deban impartir los jefes de los organismos municipales.
 3. Proyectar las respuestas desde la dimensión legal a las peticiones (PQRD) radicadas ante la Subdirección de Doctrina y Asuntos Normativos, dentro de los plazos legalmente establecidos y conforme a las instrucciones impartidas por el Director de Gestión Jurídica y/o el supervisor designado. 
 4.Proyectar los conceptos jurídicos que deban ser firmados y aprobados por el Director del Departamento Administrativo de Gestión Jurídica Pública, a partir de la aplicación de las normas, jurisprudencia y doctrina para la gestión jurídica del Distrito de Santiago de Cali. 
 5.Asistir o convocar las reuniones y mesas de trabajo que le sean asignadas y presentar un reporte de lo acontecido en las mismas. Así mismo, brindar soporte jurídico para las reuniones a las que asistan el Director de Gestión Jurídica y/o supervisor. 
 6.Las demás actividades que le asigne el supervisor del contrato y que se encuentren directamente relacionadas con el objeto contractual.</t>
  </si>
  <si>
    <t>https://community.secop.gov.co/Public/Tendering/OpportunityDetail/Index?noticeUID=CO1.NTC.9453719&amp;isFromPublicArea=True&amp;isModal=False</t>
  </si>
  <si>
    <t>doctorasandrapatricialopez@gmail.com</t>
  </si>
  <si>
    <t>314 7249034</t>
  </si>
  <si>
    <t>4121.010.32.1.063</t>
  </si>
  <si>
    <t>4121.010.26.1.063</t>
  </si>
  <si>
    <t>YEIMMY DANIELA PRIETO OROZCO</t>
  </si>
  <si>
    <t>1.062.314.435 de Santander de Quilichao</t>
  </si>
  <si>
    <t xml:space="preserve">Título de técnico (Profesional o laboral por competencias); ó tecnólogo; ó aprobación de 6 semestres de formación profesional </t>
  </si>
  <si>
    <t>Abogada de la Universidad del Cauca, graduada 24/jun/2022</t>
  </si>
  <si>
    <t>390134 del Consejo Superior de la Judicatura, expedida el 1/septiembre/2022</t>
  </si>
  <si>
    <t>*Desde 1/abril/2019 hasta 30/abril/2021, 2 años y 1 mes, con el abogado Mario German Prieto Bejarano  *Desde 1/octubre/2024 hasta 27/junio/2025, 8 meses y 27 días, Grupo Consultor Jurídico y Empresarial Inizio SAS. Total: 2 años, 9meses y 27días. Total 7 años, 4 meses y 29 dias.</t>
  </si>
  <si>
    <t>Seis (6)  meses de experiencia laboral</t>
  </si>
  <si>
    <t>Prestación de servicios de apoyo a la gestión de las actividades de la Subdirección de Doctrina y Asuntos Normativos del Departamento Administrativo de Gestión Jurídica Pública del Distrito Especial de Santiago de Cali.</t>
  </si>
  <si>
    <t>1. Brindar apoyo en la elaboración de la ruta de implementación de la Política de Mejora Normativa liderada por la Dirección del Departamento Administrativo de Gestión Jurídica Pública.
 2. Brindar apoyo en la estructuración y consolidación de los documentos relacionados con normogramas, agendas regulatorias y boletines.
 3. Brindar apoyo en el cargue y consolidación de documentos tales como conceptos o circulares en bases de datos o sistemas de información jurídicos.
 4. Proyectar las respuestas a las peticiones (PQRS) radicadas ante la Subdirección de Doctrina y Asuntos Normativos, dentro de los plazos legalmente establecidos y conforme a las instrucciones impartidas por el Director de Gestión Jurídica y/o el supervisor designado. 
 5.Asistir a las reuniones y mesas de trabajo que le sean asignadas y presentar un reporte de lo acontecido en las mismas. Así mismo, brindar soporte jurídico para las reuniones a las que asistan el Director de Gestión Jurídica y/o supervisor. 
 6.Las demás actividades que le asigne el supervisor del contrato y que se encuentren directamente relacionadas con el objeto contractual.</t>
  </si>
  <si>
    <t>Trece millones veinte mil pesos m/cte</t>
  </si>
  <si>
    <t>Tres millones doscientos cincuenta y cinco mil pesos m/cte</t>
  </si>
  <si>
    <t>https://community.secop.gov.co/Public/Tendering/OpportunityDetail/Index?noticeUID=CO1.NTC.9453716&amp;isFromPublicArea=True&amp;isModal=False</t>
  </si>
  <si>
    <t>danielaprieto2208@gmail.com</t>
  </si>
  <si>
    <t>4121.010.32.1.064</t>
  </si>
  <si>
    <t>4121.010.26.1.064</t>
  </si>
  <si>
    <t>MARIANA ALZATE RODRIGUEZ</t>
  </si>
  <si>
    <t>1.005.974.852 de Cali</t>
  </si>
  <si>
    <t>F</t>
  </si>
  <si>
    <t>Bachiller Técnico Especialidad Comercio, graduada el 29 junio de 2018 del Colegio San Pedro Claver. Técnico en Asistencia Administrativa, graduada el 21 de junio de 2018 del SENA Regional Valle.</t>
  </si>
  <si>
    <t xml:space="preserve">*Desde el 23/feb/2023 al 22/nov/2024, 1 año, 8 meses y 27 días en ACOEM Abogados. </t>
  </si>
  <si>
    <t>Prestación de servicios de apoyo a la gestión en la Subdirección de defensa judicial y prevención del daño antijurídico del Departamento Administrativo de Gestión Jurídica Pública en desarrollo del proyecto de inversión "Fortalecimiento del Ciclo de Defensa Jurídica y de la Política de Mejora Normativa del Distrito Especial de Santiago de Cali BP-26005460"</t>
  </si>
  <si>
    <t>1.Apoyar en la digitalización, cargue y actualización en el sistema de información de procesos judiciales del Departamento Administrativo de Gestión Jurídica Pública, los documentos inherentes a las actuaciones prejudiciales, judiciales y/o constitucionales que le fueran notificadas al organismo. 2. Apoyar en las actividades de depuración del aplicativo de sistema de información de procesos judiciales del Departamento Administrativo de Gestión Jurídica Pública. 3. Apoyar en la proyección de los oficios que le sean asignados. 4. Las demás actividades que le asigne el supervisor del contrato y que se encuentren directamente relacionadas con el objeto contractual.</t>
  </si>
  <si>
    <t>https://community.secop.gov.co/Public/Tendering/OpportunityDetail/Index?noticeUID=CO1.NTC.9436407&amp;isFromPublicArea=True&amp;isModal=False</t>
  </si>
  <si>
    <t>maralzatemillan@gmail.com</t>
  </si>
  <si>
    <t>4121.010.32.1.065</t>
  </si>
  <si>
    <t>4121.010.26.1.065</t>
  </si>
  <si>
    <t>NATALIA ALMANSA GUZMAN</t>
  </si>
  <si>
    <t>1130589339 de Cali</t>
  </si>
  <si>
    <t>Abogada de la Pontificia Universidad Javeriana graduada el 18/mayo/2013. Especialista en Derecho Comercial de la Pontificia Universidad Javeriana graduada el 15/septiembre/2021.</t>
  </si>
  <si>
    <t>231393 - Expedida por el Consejo Superior de la Judicatura el 11/julio/2013.</t>
  </si>
  <si>
    <t>*Desde 28/abril/2014 hasta mayo 05/2017, 3 años y 6 días en Espinal Abogados Asociados. * Desde 08/mayo/2017 hasta el 10/mayo/2019, 2 años y 2 días en el Juzgado Quince Civil  Circuito de  Oralidad. *Desde 03/noviembre/2020 hasta 01/marzo/2021, 3 meses y 27 días en PKF Cabrera Internacional S.A. BIC. Total: 5 años, 4 meses y 5 días.</t>
  </si>
  <si>
    <t>Prestación de servicios profesionales como Abogado Especializado, brindando soporte en la realización de las actividades desarrolladas en  la Subdirección de Defensa Judicial y Prevención del Daño Antijurídico  del Distrito Especial de Santiago de Cali, especificamente en lo relacionado con la operación del Ciclo de Defensa Jurídica, en el marco del proyecto de inversión denominado "Fortalecimiento del Ciclo de Defensa Jurídica y de la Política de Mejora Normativa del Distrito Especial de Santiago de Cali BP-26005460"</t>
  </si>
  <si>
    <t>1.Brindar apoyo a la Subdirección de Defensa Judicial y Prevención del Daño Antijuridico del Departamento Administrativo de Gestión Jurídica Pública en la consolidación del informe de análisis del contingente judicial del Distrito Especial. 2. Ejercer la representación judicial de los intereses del Distrito Especial de Santiago de Cali, cuando sea requerido. 3. Brindar apoyo a la Subdirección de Defensa Judicial y Prevención del Daño Antijuridico del Departamento Administrativo de Gestión Jurídica Pública en el estudio y análisis de las acciones de repetición. 4. Brindar apoyo a la Subdirección de Defensa Judicial y Prevención del Daño Antijuridico del Departamento Administrativo de Gestión Jurídica Pública en la proyección de los documentos del proceso de gestión Contractual o como apoyo a la supervisión (cuando se requiera) de los contratos en los que la subdirección ejerza la supervisión de los mismos. 5. Brindar apoyo a la Subdirección de Defensa Judicial y Prevención del Daño Antijuridico del Departamento Administrativo de Gestión Jurídica Pública en la consolidación del documento que contenga las políticas de prevención del daño antijuridico del Distrito, cuando se requiera. 6.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7.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8.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9.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</si>
  <si>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https://community.secop.gov.co/Public/Tendering/OpportunityDetail/Index?noticeUID=CO1.NTC.9423897&amp;isFromPublicArea=True&amp;isModal=False</t>
  </si>
  <si>
    <t>nalmansa@gmail.com</t>
  </si>
  <si>
    <t>4121.010.32.1.066</t>
  </si>
  <si>
    <t>4121.010.26.1.066</t>
  </si>
  <si>
    <t>JUAN MENELIO RIASCOS TORRES</t>
  </si>
  <si>
    <t>Bachiller Académico graduado el 19 de julio de 2001, del Colegio Pascual de Andagoya.  Tecnólogo en Gestión Empresarial, graduado el 25 de mayo de 2015 del SENA Regional Valle.</t>
  </si>
  <si>
    <t xml:space="preserve">Prestación de servicios de apoyo a la gestión en la digitación, creación y depuración de acciones constitucionales dentro del aplicativo del sistema de información de procesos judiciales del Departamento Administrativo de Gestión Jurídica Pública del Distrito Especial de Santiago de Cali. </t>
  </si>
  <si>
    <t>Once millones seiscientos veinte mil pesos m/cte</t>
  </si>
  <si>
    <t>https://community.secop.gov.co/Public/Tendering/OpportunityDetail/Index?noticeUID=CO1.NTC.9433298&amp;isFromPublicArea=True&amp;isModal=False</t>
  </si>
  <si>
    <t>riascosjuan395@gmail.com</t>
  </si>
  <si>
    <t>4121.010.32.1.067</t>
  </si>
  <si>
    <t>4121.010.26.1.067</t>
  </si>
  <si>
    <t>DANIEL STIVEN MARTINEZ MENDEZ</t>
  </si>
  <si>
    <t>1.144.101.022 de Cali</t>
  </si>
  <si>
    <t>Bachiller Técnico graduado el 24 de junio de 2016, del Colegio de nuestra señora de chiquinquirá. Técnico en Contabilización de Operaciones Comerciales y Financieras, graduado el 21 de junio de 2016 del SENA Regional Valle.</t>
  </si>
  <si>
    <t>danielsmm98@gmail.com</t>
  </si>
  <si>
    <t xml:space="preserve">BP-26005460/1/01/01/03
</t>
  </si>
  <si>
    <t xml:space="preserve">4121/1.2.1.0.00/2.3.2.02.02.008/63020010002/BP260054601010103
</t>
  </si>
  <si>
    <t>4121.010.32.1.068</t>
  </si>
  <si>
    <t>4121.010.26.1.068</t>
  </si>
  <si>
    <t xml:space="preserve">MARLON ANDRES MARENO MILLÁN </t>
  </si>
  <si>
    <t>1.144.058.831 de Cali</t>
  </si>
  <si>
    <t>Abogado de la Universidad San Buenaventura graduado el 25/agosto/2016, Especialista en Derecho Administrativo de la Universidad Externado de Colombia graduado el 30/junio/2018. Especialista en Derecho constitucional de la Universidad Externado de Colombia graduado el 13/enero/2024.</t>
  </si>
  <si>
    <t>278945 Expedida por el Consejo Superior de la Judicatura, el  8/11/2016</t>
  </si>
  <si>
    <r>
      <rPr>
        <sz val="11"/>
        <color rgb="FF000000"/>
        <rFont val="Arial"/>
      </rPr>
      <t>*Desde18/noviembre/2016 hasta 30/diciembre/2016, 1 mes y 12 dias, en METRO CALI S.A. ACUERDO DE REESTRUCTURACIÓN. *Desde 25/enero/2017 hasta 30/junio/2017, 5 meses y 5 dias, en METRO CALI S.A. ACUERDO DE REESTRUCTURACIÓN. *Desde10/julio/2017 hasta 29/diciembre/2017, 5 meses y 19 días, METRO CALI S.A. ACUERDO DE REESTRUCTURACIÓN</t>
    </r>
    <r>
      <rPr>
        <sz val="11"/>
        <color rgb="FF000000"/>
        <rFont val="Arial"/>
      </rPr>
      <t xml:space="preserve">. </t>
    </r>
    <r>
      <rPr>
        <sz val="11"/>
        <color rgb="FF000000"/>
        <rFont val="Arial"/>
      </rPr>
      <t>*Desde04/enero/2018 hasta 29/junio/2018, 5 meses y 25 días, METRO CALI S.A. ACUERDO DE REESTRUCTURACIÓN. *Desde 03/julio/2018 hasta 31/octubre/2018, 3 meses y 28 días, METRO CALI S.A. ACUERDO DE REESTRUCTURACIÓN. *Desde 03/enero/2019 hasta 30/agosto/2019, 7 meses y 27 días, METRO CALI S.A. ACUERDO DE REESTRUCTURACIÓN.*Desde 07/enero/2020 hasta 31/enero/2020, 24 días, METRO CALI S.A. ACUERDO DE REESTRUCTURACIÓN.*Desde13/febrero/2020 hasta 30/abril/2020, 2 meses y 17 días, METRO CALI S.A. ACUERDO DE REESTRUCTURACIÓN.</t>
    </r>
    <r>
      <rPr>
        <sz val="11"/>
        <color rgb="FF000000"/>
        <rFont val="Arial"/>
      </rPr>
      <t xml:space="preserve"> </t>
    </r>
    <r>
      <rPr>
        <sz val="11"/>
        <color rgb="FF000000"/>
        <rFont val="Arial"/>
      </rPr>
      <t>*Desde 27/enero/2023 hasta 30/abril/2023, 3 meses y 3 dias en  Empresas Municipales de Cali - EMCALI. *Desde 02/mayo/2023 hasta 31/diciembre/2023, 7 meses y 29 dias en  Empresas Municipales de Cali . *Desde 03/febrero/2021 hasta 06/agosto/2021, 6 meses y 3 días, en el MINISTERIO DE AGRICULTURA Y DESARROLLO RURAL.  *Desde 18/agosto/2021 hasta 31/diciembre/2021, 4 meses y 13 días, en el MINISTERIO DE AGRICULTURA Y DESARROLLO RURAL. Total: 4 años, 6 meses y 25 dias.</t>
    </r>
  </si>
  <si>
    <t>Treintay un millones trescientos cuatro mil pesos m/cte</t>
  </si>
  <si>
    <t>https://community.secop.gov.co/Public/Tendering/OpportunityDetail/Index?noticeUID=CO1.NTC.9433483&amp;isFromPublicArea=True&amp;isModal=False</t>
  </si>
  <si>
    <t>marlonmorenoabg@gmail.com</t>
  </si>
  <si>
    <t>nadp7@hotmail.com</t>
  </si>
  <si>
    <t>CALLE 68 No.5-28 CALI</t>
  </si>
  <si>
    <t>4121.010.32.1.069</t>
  </si>
  <si>
    <t>4121.010.26.1.069</t>
  </si>
  <si>
    <t>HUGO FERNANDO HURTADO PEREZ</t>
  </si>
  <si>
    <t>16.455.964 de Yumbo</t>
  </si>
  <si>
    <t xml:space="preserve">Abogado de la Universidad Cooperativa de Colombia, graduado el 15 de julio de 2022. </t>
  </si>
  <si>
    <t>https://community.secop.gov.co/Public/Tendering/OpportunityDetail/Index?noticeUID=CO1.NTC.9434220&amp;isFromPublicArea=True&amp;isModal=False</t>
  </si>
  <si>
    <t>hurtado.asesoriasjuridicas@gmail.com</t>
  </si>
  <si>
    <t>4121.010.32.1.070</t>
  </si>
  <si>
    <t>4121.010.26.1.070</t>
  </si>
  <si>
    <t>JOHN EDWARD MARTÍNEZ SALAMANCA</t>
  </si>
  <si>
    <t>16.463.005 de Yumbo (V)</t>
  </si>
  <si>
    <t>Abogado de la Universidad Santiago de Cali graduado el 23/Abril/2008</t>
  </si>
  <si>
    <t>170305 del Consejo Profesional de Administracion de Empresas, expedida el 24 de junio del 2008</t>
  </si>
  <si>
    <t>*Desde 01/octubre/2000 hasta 01/octubre /2012, 12 años, en Consorcio Aristizabal Velásquez Abogados Ltda. *Desde 13/octubre/2013 hasta 27/agosto/2025, 11 años, 10 meses, y 14 días, en Grupo Tres Abogados. Total: 23 años, 10 meses y 14 días.</t>
  </si>
  <si>
    <t>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Asistir a las jornadas de socialización, mesas técnicas, mesas de estudio y comités de fortalecimiento a los que sea convocado. 
5.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</si>
  <si>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https://community.secop.gov.co/Public/Tendering/OpportunityDetail/Index?noticeUID=CO1.NTC.9437274&amp;isFromPublicArea=True&amp;isModal=False</t>
  </si>
  <si>
    <t>johnmartinez@grupo3abogados.co,co</t>
  </si>
  <si>
    <t>4121.010.32.1.071</t>
  </si>
  <si>
    <t>4121.010.26.1.071</t>
  </si>
  <si>
    <t xml:space="preserve">JHONI ARLEY ORTEGA QUICENO </t>
  </si>
  <si>
    <t>1.107.043.321 de Cali</t>
  </si>
  <si>
    <t>Abogado (a) con título de posgrado</t>
  </si>
  <si>
    <t>Abogado de la Universidad Libre, graduado el 06/diciembre/2012, Especialista en Derecho Penal de la Universidad Libre graduado el 26/nov/2019. Magister en Derecho Constitucional de la Universidad Libre graduado el dia  15/noviembre/2017.</t>
  </si>
  <si>
    <t>225281 del Consejo Superior de la Judicatura, expedida el 15/02/2013</t>
  </si>
  <si>
    <t>*Desde 28/junio/2013 hasta 25/septiembre/2020, 7 años, 2 meses y 26 días, en Territorio Juridico S.A.S. *Desde 13/octubre/2021 hasta 31/diciembre/2021, 2 meses y 18 días, Alcaldía de Santiago de Cali. *Desde 14/julio/2021 hasta 15/septiembre/2021,  2 meses  y 1 día, en Alcaldía de Santiago de Cali. *Desde 16/febrero/2021 hasta 15/mayo/2021, 2 meses y 28 días, en Alcaldía de Santiago de Cali.*Desde13/noviembre/2020 hasta 31/diciembre/2020,1 mes y 18 días, en Alcaldía de Santiago de Cali.*Desde 29/septiembre/2022 hasta 20/diciembre/2022,  2 meses y 20 días, en el Instituto del Deporte, la Educación fisica y la Recreación -INDERVALLE. Total:8 años, 2 meses y 21 días.</t>
  </si>
  <si>
    <t xml:space="preserve">Prestación de servicios profesionales como abogado especializado, brindando soporte jurídico en la Subdirección de Defensa Judicial y Prevención del Daño Antijurídico del Departamento Administrativo de Gestión Jurídica Pública del Distrito de Santiago de Cali, en lo correspondiente al control y seguimiento de acciones constitucionales. </t>
  </si>
  <si>
    <t xml:space="preserve">1.	Brindar apoyo en el control y seguimiento del cumplimiento de las sentencias de las acciones Constitucionales en las que el Distrito Especial de Santiago de Cali sea parte o se encuentre vinculado. Crear o Consolidar una herramienta de seguimiento y control de las acciones constituciones activas y mantenerla actualizada en tiempo real. 
2.	Ejercer la representación judicial, extrajudicial en las acciones constitucionales en las que la Entidad sea parte o se encuentre vinculada,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3.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4.	Brindar apoyo en la elaboración, consolidación y revisión de informes a remitir a los despachos judiciales en los cuales se evidencien las acciones desplegadas por los diferentes organismos del Distrito Especial, en el marco del cumplimiento de las sentencias de las acciones constitucionales en las que el Distrito Especial de Santiago de Cali sea parte o se encuentre vinculado.
5.	Asistir a las jornadas de socialización, mesas técnicas, mesas de estudio y comités de fortalecimiento a los que sea convocado. 
6.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
</t>
  </si>
  <si>
    <t>https://community.secop.gov.co/Public/Tendering/OpportunityDetail/Index?noticeUID=CO1.NTC.9609983&amp;isFromPublicArea=True&amp;isModal=False</t>
  </si>
  <si>
    <t>jhonior1987@gmail.com</t>
  </si>
  <si>
    <t>CALLE 48 No.109-83 APTO 701</t>
  </si>
  <si>
    <t>4121.010.32.1.072</t>
  </si>
  <si>
    <t>4121.010.26.1.072</t>
  </si>
  <si>
    <t>JUAN SEBASTIAN BOCANEGRA RENGIFO</t>
  </si>
  <si>
    <t>1.192.762.791 de Cali(Valle)</t>
  </si>
  <si>
    <t>Bachiller técnico especialidad Comercio del Colegio San Pedro Claver, Certificado de aprobación de los 5 años del plan de estudios de la a Facultad de Derecho, Ciencias Políticas y Sociales, de la Universidad Libre, terminó materias el 19 de junio de 2025.</t>
  </si>
  <si>
    <t>*Desde el 17/enero/2022 al 20/03/2023, 1 año, 2 meses y 3 días con el Abogado Carlos Alberto Trujillo Coral Total: 1 año, 2 meses y 3 días.</t>
  </si>
  <si>
    <t xml:space="preserve">Prestación de servicios de apoyo a la gestión de las actividades desarrolladas en  la Subdirección de defensa judicial y prevención del daño antijurídico del Departamento Administrativo de Gestión Jurídica Pública de Distrito Especial de Santiago de Cali en el diligenciamiento del aplicativo de gestión de Procesos Judiciales del Distrtito. </t>
  </si>
  <si>
    <t>1.Apoyar en la digitación y creación en el aplicativo del sistema de información de procesos judiciales del Departamento Administrativo de Gestión Jurídica Pública, de los procesos prejudiciales, judiciales y acciones constitucionales que le fueran notificadas al organismo. 2. Apoyar en la digitalización, cargue y actualización en el sistema de información de procesos judiciales del Departamento Administrativo de Gestión Jurídica Pública, los documentos inherentes a las actuaciones prejudiciales, judiciales y/o constitucionales que le fueran notificadas al organismo. 3. Apoyar en la creación y digitalización de procesos en el módulo Ley 2213 del 2022 del sistema de información de procesos judiciales del Departamento Administrativo de Gestión Jurídica Pública. 4. Apoyar cuando se le requiera, en las actividades de depuración del aplicativo de sistema de información de procesos judiciales del Departamento Administrativo de Gestión Jurídica Pública. 5. Proyectar los oficios de la asignación de procesos en el módulo de la Ley 2213 de 2022. 6. Las demás actividades que le asigne el supervisor del contrato y que se encuentren directamente relacionadas con el objeto contractual.</t>
  </si>
  <si>
    <t>https://community.secop.gov.co/Public/Tendering/OpportunityDetail/Index?noticeUID=CO1.NTC.9436355&amp;isFromPublicArea=True&amp;isModal=False</t>
  </si>
  <si>
    <t>machomijo123@gmail.com</t>
  </si>
  <si>
    <t xml:space="preserve">CALLE 56  # 42 -10 </t>
  </si>
  <si>
    <t>4121.010.32.1.073</t>
  </si>
  <si>
    <t>4121.010.26.1.073</t>
  </si>
  <si>
    <t>VIVIAN VALDERRAMA TELLEZ</t>
  </si>
  <si>
    <t>67.001.050 de Cali</t>
  </si>
  <si>
    <t xml:space="preserve">Comunicador (a) Social  </t>
  </si>
  <si>
    <t>Comunicador Social de la Universidad Santiago de Cali, graduada el 14/abril/2004, Especialista en Gestión Regional del Derecho de la Universidad de los Andes, graduada el 09/octubre/2008 y Especialista en Psicología del Consumidor de la Fundación Universitaria Konrad Lorenz, graduada el 13/marzo/2023.</t>
  </si>
  <si>
    <t>*Desde 18/julio/2014 hasta 30/septiembre/2021, 7 años, 2 meses y 12 días, Superintendencia Nacional de Salud - Supersalud. Total: 7 años, 2 meses y 12 días.</t>
  </si>
  <si>
    <t>Prestación de servicios profesionales como Comunicadora Social, para el fortalecimiento de la atención al ciudadano y la transparencia en las actuaciones jurídicas del Departamento Administrativo de Gestión Jurídica Pública del Distrito Especial de Santiago de Cali, mediante la implementación de estrategias de lenguaje claro e innovación, alineados con la Política Nacional de Servicio al Ciudadano.</t>
  </si>
  <si>
    <t xml:space="preserve">1. Implementación de Lenguaje Claro Jurídico: Traducir los actos administrativos y conceptos técnicos del Departamento a formatos comprensibles, eliminando barreras de comunicación técnica para el ciudadano común. 2. Estrategia de Socialización y Transparencia: Diseñar campañas de comunicación proactiva sobre la defensa de los intereses de la ciudad, informando a la ciudadanía sobre cómo la gestión jurídica protege el patrimonio público. 3. Monitoreo y Calidad del Servicio: Establecer indicadores de satisfacción del usuario específicos para el área jurídica, evaluando la claridad y oportunidad de las respuestas dadas a PQRSD (Peticiones, Quejas, Reclamos, Sugerencias y Denuncias). 4. Prevención del Daño Antijurídico mediante la Comunicación: Asesorar en la creación de contenidos que eduquen al ciudadano sobre sus deberes y derechos, como estrategia de prevención de litigios contra la administración. 5. Brindar apoyo en la revisión de los informes trimestrales de Servicio al Ciudadano remitidos por la Subdirección de Trámites, Servicios y Gestión Documental del Departamento Administrativo de Desarrollo e Innovación Institucional del Distrito Especial de Santiago de Cali, durante la vigencia 2026 en relación con el Departamento Administrativo de Gestión Jurídica Pública y proponer acciones de mejora para la realización del seguimiento concertado de dicha actividad. 6. Brindar apoyo al Departamento, desde su área del conocimiento en la elaboración de boletines informativos, boletín de relatoría jurídica y divulgación jurídica de "Sinfonía", la plataforma tecnológica de información que unifica y organiza toda la producción documental del Departamento Administrativo de Gestión Jurídica Pública del Distrito Especial de Santiago de Cali. 7. Brindar apoyo al Departamento, desde su área del conocimiento, en la elaboración de las diferentes presentaciones que deba realizar el Organismo. 8. Asistir o convocar las reuniones y mesas de trabajo que le sean asignadas y presentar un reporte de lo acontecido en las mismas. 9. Las demás actividades que le asigne el supervisor del contrato y que se encuentren directamente relacionadas con el objeto contractual.
</t>
  </si>
  <si>
    <t>https://community.secop.gov.co/Public/Tendering/OpportunityDetail/Index?noticeUID=CO1.NTC.9552157&amp;isFromPublicArea=True&amp;isModal=False</t>
  </si>
  <si>
    <t>navivi76@yahoo.com</t>
  </si>
  <si>
    <t>CARRERA 7 No.62-43 APTO 501</t>
  </si>
  <si>
    <t>Subdirectora de Defensa Judicial y Prevención del Daño Antijurídico</t>
  </si>
  <si>
    <t>4121.010.32.1.074</t>
  </si>
  <si>
    <t>4121.010.26.1.074</t>
  </si>
  <si>
    <t>DIEGO MAURICIO RODRÍGUEZ BELTRÁN</t>
  </si>
  <si>
    <t>14.837.271 de Cali</t>
  </si>
  <si>
    <t>Abogado de la Universidad Libre, graduado el 18/diciembre/2007. Especialista en Derecho Urbano  de la Universidad del Rosario, graduado el 17/agosto/2018.</t>
  </si>
  <si>
    <t>167016 Expedida por el Consejo Superior de la Judicatura, el  27febrero/2008</t>
  </si>
  <si>
    <t>*Desde 02/enero/2018 hasta 20/mayo/2019, 1 años, 4 meses y 18 días, en  la Personería de Santiago de Cali. *Desde 21/mayo/2019 hasta 29/agosto/2024, 5 años, 3 meses, y 8 días, en  la Personería de Santiago de Cali. Total: 6 años, 7 meses y 26 días.</t>
  </si>
  <si>
    <t>Prestación de servicios profesionales como Abogado llevando a cabo actividades de representación judicial para el Departamento Administrativo de Gestión Jurídica Pública.</t>
  </si>
  <si>
    <t>https://community.secop.gov.co/Public/Tendering/OpportunityDetail/Index?noticeUID=CO1.NTC.9439025&amp;isFromPublicArea=True&amp;isModal=False</t>
  </si>
  <si>
    <t>diegorobel@outlook.com</t>
  </si>
  <si>
    <t>4121.010.32.1.075</t>
  </si>
  <si>
    <t>4121.010.26.1.075</t>
  </si>
  <si>
    <t>DANIELA ALEJANDRA MARTINEZ MÉNDEZ</t>
  </si>
  <si>
    <t>Título de formación técnica o tecnológica o aprobación de seis (6) semestres de educación superior en las modalidades de pregrado</t>
  </si>
  <si>
    <t>Bachiller Técnico especialidad Comercio,  graduada el 29/junio/2013, en el Colegio Nuestra Señora de Chiquinquirá. Técnico Profesional Administrativo del Centro de Estudios de Iberoamerica, graduada el 14/septiembre/2023.</t>
  </si>
  <si>
    <t>*Desde 01/octubre/2022 hasta 30/junio/2024, 1 año, 8 meses y 29 días en Soluciones y Diseños de oficina S.A.S. * Desde 01/feb/2021 hasta el 31/08/2022,  1 año, 6 meses, y 30 días en Comunicaciónades Públicas de Colombia. Total: 3 años, 3 meses y 29 días.</t>
  </si>
  <si>
    <t>https://community.secop.gov.co/Public/Tendering/OpportunityDetail/Index?noticeUID=CO1.NTC.9437169&amp;isFromPublicArea=True&amp;isModal=False</t>
  </si>
  <si>
    <t>daniela96_18@hotmail.com</t>
  </si>
  <si>
    <t>4121.010.32.1.076</t>
  </si>
  <si>
    <t>4121.010.26.1.076</t>
  </si>
  <si>
    <t>NINA JHOANA SOTO BUSTAMANTE</t>
  </si>
  <si>
    <t>Abogada de la Universidad Santiago de Cali, graduada el 20/noviembre/2012</t>
  </si>
  <si>
    <t>231815 del Consejo Superior de la Judicatura, expedida el 29/julio/2013</t>
  </si>
  <si>
    <t>Desde el 01/agosto/2013 al 25/enero/2019, 5 años, 5 meses y 24 dias, en Fortox Security Group.  Total:5 años, 5 meses y 24 días.</t>
  </si>
  <si>
    <t xml:space="preserve"> Prestación de servicios profesionales como Abogado, brindando soporte en el Departamento Administrativo de Gestión Jurídica Pública especificamente en la Subdirección de Defensa Judicial y Prevención del Daño Antijurídico en las actividades correspondientes a la revisión y trámite de pago de sentencias, laudos arbitrales, conciliaciones, costas y demás,  que deba realizar el Distrito Especial de Santiago de Cali, en el marco del proyecto de inversión denominado "Fortalecimiento del Ciclo de Defensa Jurídica y de la Política de Mejora Normativa del Distrito Especial de Santiago de Cali BP-26005460"</t>
  </si>
  <si>
    <t xml:space="preserve">1.Brindar apoyo al Departamento Administrativo de Gestión Jurídica Pública en la revisión de los documentos allegados por los solicitantes necesarios para el trámite de pago de sentencias, laudos arbitrales, conciliaciones y costas que deba realizar el Distrito  Especial de Santiago de Cali, de conformidad con las competencias señaladas dentro de los procedimientos establecidos por la entidad y realizar los requerimientos a los solicitantes, cuando sea necesario, así como elaboración de los oficios correspondientes para que se efectué el pago .  2. Brindar apoyo al Departamento Administrativo de Gestión Jurídica Pública en la elaboración o revisión de los documentos necesarios para el  trámite del pago de sentencias, laudos arbitrales, conciliaciones y costas a favor o en contra del Distrito Especial de Santiago de Cali., que se deban realizar de oficio conforme a lo establecido en las normas legales vigentes. 3. Brindar apoyo en la elaboración y diligenciamiento  del informe  en formato excel en el que se consigne mensualmente la información sobre los trámites de pagos de sentencias, laudos arbitrales, conciliaciones y costas judiciales que haya adelantado, conforme a las funciones y competencias del Departamento Administrativo de Gestión Jurídica Pública.  4. Proyectar los oficios que el Departamento Administrativo de Gestión Jurídica Pública mensualmente envie a la Secretaría de Educación, el Departamento Administrativo de Desarrollo e Innovación Institucional y el Departamento Administrativo de Hacienda con relación a los pagos de sentencias, laudos y conciliaciones a cargo del Distrito Especial de Santiago de Cali.  5. Las demás actividades que le asigne el supervisor del contrato y que se encuentren relacionadas con el objeto del mismo. </t>
  </si>
  <si>
    <t>https://community.secop.gov.co/Public/Tendering/OpportunityDetail/Index?noticeUID=CO1.NTC.9626602&amp;isFromPublicArea=True&amp;isModal=False</t>
  </si>
  <si>
    <t>ninajsoto@hotmail.com</t>
  </si>
  <si>
    <t>$21.306.000</t>
  </si>
  <si>
    <t>4121.010.32.1.077</t>
  </si>
  <si>
    <t>4121.010.26.1.077</t>
  </si>
  <si>
    <t>ANGELICA
HERRERA RUANO</t>
  </si>
  <si>
    <t>Bachiller Técnico Comercial en Contabilidad y Finanzas,  graduada el 07/diciembre/2018, en la Institución Educativa Técnica Ciudad de Cali.Tecnologo en Gestión Contable y Financiera, del Servicio Nacional de Aprendizaje SENA, graduada el 30/agosto/2022. Estudiante de la carrera Profesional Contaduría Pública con nueve (9) semestres aprobados en la Universidad UNIMINUTO</t>
  </si>
  <si>
    <t>Desde el 02/febrero/2023 al 02/octubre/2025, 2 años y 8 meses, en GEMCON S.A.S. Total 2 años, 8 meses.</t>
  </si>
  <si>
    <t>Prestación de servicios de apoyo a la gestión, brindando apoyo a las actividades que deba realizar el Departamento Administrativo de Gestión Jurídica Pública con relación al contigente judicial</t>
  </si>
  <si>
    <t>1. Apoyar a la elaboracion de informe mensual a la Subdirección de Defensa Judicial y Prevención del Daño Antijurídico, las inconsistencias encontradas en conciliaciones prejudiciales, procesos judiciales y tramites arbitrales, relacionadas con el contingente judicial en el sistema de información de procesos judiciales del Departamento Administrativo de Gestión Jurídica Pública, para determinar su ajuste conjuntamente con el apoderado. 2) Apoyo  para la elaboracion del informe que consolide la información mensual relacionada con la valoración del contingente, de las conciliaciones prejudiciales, los procesos judiciales y laudos arbitrales registrados en el Sistema de Información de Procesos Judiciales del Departamento Administrativo de Gestión Jurídica Pública, que documente las cantidades de procesos calificados y pendientes por calificar. 3. Elaborar comunicaciones oficiales, actas y demás documentos que solicite el (la) Subdirector(a) de Defensa Judicial y Prevención del Daño Antijurídico. 4. Las demás actividades que le asigne el supervisor del contrato y que se encuentren directamente relacionadas con el objeto contractual.</t>
  </si>
  <si>
    <t>Doce millones cuatrocientos veintiocho mil quinientos pesos m/cte</t>
  </si>
  <si>
    <t>Cuatro (4) cuotas, una (1) cuota de Un millón setecientos setenta y cinco mil pesos M/cte y tres (3) cuotas Tres millones quinientos cincuenta y un mil pesos m/cte</t>
  </si>
  <si>
    <t>Un millón setecientos setenta y cinco mil  quinientos pesos M/cte</t>
  </si>
  <si>
    <t>202641370400002924 del 21 de enero de 2026</t>
  </si>
  <si>
    <t>https://community.secop.gov.co/Public/Tendering/OpportunityDetail/Index?noticeUID=CO1.NTC.9731635&amp;isFromPublicArea=True&amp;isModal=False</t>
  </si>
  <si>
    <t>herreraangelica1213@gmail.com</t>
  </si>
  <si>
    <t>Administradora de Empresas contratista</t>
  </si>
  <si>
    <t>$ 1.531.992.000</t>
  </si>
  <si>
    <t>ASESOR</t>
  </si>
  <si>
    <t>4121.010.32.1.078</t>
  </si>
  <si>
    <t>4121.010.26.1.078</t>
  </si>
  <si>
    <t>BENAVIDES &amp; DEL TORO ASOCIADOS S.A.S.</t>
  </si>
  <si>
    <t>Nit. 901.348.924-3</t>
  </si>
  <si>
    <t>RPC</t>
  </si>
  <si>
    <t>Prestar servicios profesionales de asesoría jurídica especializada al Departamento Administrativo de Gestión Jurídica Pública de la Alcaldía Distrital de Santiago de Cali, en apoyo a sus funciones de orientación jurídica, defensa judicial, prevención del daño antijurídico y emisión de conceptos en materias administrativas, contractuales y demás relacionados con los proyectos de inversión financiados con los recursos provenientes de empréstito suscritos por el Distrito”.</t>
  </si>
  <si>
    <t>$ 62.359.664</t>
  </si>
  <si>
    <t>Once millones ochocientos cuarenta y ocho mil trescientos treinta y seis pesos M/cte</t>
  </si>
  <si>
    <t>$ 11.848.336</t>
  </si>
  <si>
    <t>Doce millones trescientos sesenta y ocho mil M/cte</t>
  </si>
  <si>
    <t>$ 12.368.000</t>
  </si>
  <si>
    <t>$ 10.393.277</t>
  </si>
  <si>
    <t>$ 1.974.723</t>
  </si>
  <si>
    <t>202641370400000744 del 08 de enero de 2026</t>
  </si>
  <si>
    <t>https://community.secop.gov.co/Public/Tendering/OpportunityDetail/Index?noticeUID=CO1.NTC.9627799&amp;isFromPublicArea=True&amp;isModal=False</t>
  </si>
  <si>
    <t>gdeltoro1985@gmail.com</t>
  </si>
  <si>
    <t>CL 118 5 33 P 4</t>
  </si>
  <si>
    <t>3 0 1 5 1 3 1 5 5 6</t>
  </si>
  <si>
    <t>RUBEN DARIO</t>
  </si>
  <si>
    <t xml:space="preserve">Contadora Pública, Contratista </t>
  </si>
  <si>
    <t>$258.274.553</t>
  </si>
  <si>
    <t>4121.010.32.1.079</t>
  </si>
  <si>
    <t>4121.010.26.1.079</t>
  </si>
  <si>
    <t>ABOGADOS CONSULTORES ASOCIADOS S.A.S</t>
  </si>
  <si>
    <t>809.006.874-2</t>
  </si>
  <si>
    <t>Prestación de Servicios Profesionales para el acompañamiento y representación judicial al Distrito de Santiago de Cali en primera y segunda instancia en todas las actuaciones, etapas procesales y providencias judiciales que se surtan desde el momento que asuma la representación de la entidad en los tres (3) procesos contenciosos administrativos que se adelantan en la actualidad ante el Tribunal Administrativo del Valle del Cauca y el Consejo de Estado, respectivamente, a través del medio de control de controversias contractuales, identificados con las radicados número 76001-23-33-007-2017-01644-00, 76001-23-33-006-2018-00217-00 y 76001-23-33-000-2023-00722-00, en los cuales se pretende la declaratoria de nulidad de los actos administrativos por medio de los cuales se decretó el incumplimiento y la caducidad del contrato de concesión N°4151.1.14.26.005-10 celebrado con la sociedad Vías de Cali S.A.S.</t>
  </si>
  <si>
    <t>Doscientos cincuenta y ocho millones doscientos setanta y cuatro mil quinientos cincuenta y tres pesos M/cte</t>
  </si>
  <si>
    <t>Doscientos diecisiete millones treinta y siete mil cuatrocientos treinta y nueve pesos M/cte</t>
  </si>
  <si>
    <t>Cuarenta y uno millones doscientos treinta y siete mil ciento catorce pesos M/cte</t>
  </si>
  <si>
    <t>Dos</t>
  </si>
  <si>
    <t>Ciento veintinueve millones ciento treinta y siete mil doscientos setenta y seis pesos M/cte</t>
  </si>
  <si>
    <t>https://community.secop.gov.co/Public/Tendering/OpportunityDetail/Index?noticeUID=CO1.NTC.9790148&amp;isFromPublicArea=True&amp;isModal=False</t>
  </si>
  <si>
    <t>fernandovillarragapalacios@gmail.com</t>
  </si>
  <si>
    <t>AC 19 3 A 37 TO B OF 602 ED PROCOL 2</t>
  </si>
  <si>
    <t>3 0 1 4 3 9 1 6 3 7</t>
  </si>
  <si>
    <t xml:space="preserve">JETSABEL MÉNDEZ ILES </t>
  </si>
  <si>
    <t>4121.010.32.1.080</t>
  </si>
  <si>
    <t>4121.010.26.1.080</t>
  </si>
  <si>
    <t>ANA MILENA CORTES CASTILLO</t>
  </si>
  <si>
    <t>66.856.715 de Cali</t>
  </si>
  <si>
    <t xml:space="preserve">Abogada de la Universidad Tecnológica del Chocó "Diego Luis Córdoba", graduada el 19/septiembre/2014, Especialista en Derecho Administrativo de la Universidad Libre graduada el 19/agosto/2016. </t>
  </si>
  <si>
    <t>250605 del Consejo Superior de la Judicatura, expedida el 09/diciembre/2014.</t>
  </si>
  <si>
    <r>
      <rPr>
        <sz val="11"/>
        <color rgb="FF000000"/>
        <rFont val="Arial"/>
      </rPr>
      <t>*Desde 18/abril/2024 hasta 30/diciembre/2024,</t>
    </r>
    <r>
      <rPr>
        <sz val="11"/>
        <color rgb="FFFF0000"/>
        <rFont val="Arial"/>
      </rPr>
      <t xml:space="preserve"> </t>
    </r>
    <r>
      <rPr>
        <sz val="11"/>
        <color rgb="FF000000"/>
        <rFont val="Arial"/>
      </rPr>
      <t>8 meses y 12 días,</t>
    </r>
    <r>
      <rPr>
        <sz val="11"/>
        <color rgb="FFFF0000"/>
        <rFont val="Arial"/>
      </rPr>
      <t xml:space="preserve"> </t>
    </r>
    <r>
      <rPr>
        <sz val="11"/>
        <color rgb="FF000000"/>
        <rFont val="Arial"/>
      </rPr>
      <t>en Parques Nacionales Naturales de Colombia. *Desde 29/mayo/2023 hasta 29/diciembre/2023,  7 meses, en Alcaldia de Santiago de Cali. *Desde 21/julio/2022 hasta 30/septiembre/2022,  2 meses y 9 días, en Alcaldia de Santiago de Cali. *Desde 18/enero/2022 hasta 30/junio/2022,  5 meses y 12 días, en Alcaldia de Santiago de Cali. *Desde 07/octubre/2021 hasta 31/diciembre/2021, 2 meses y 24 días, en Alcaldía de Santiago de Cali. Total 2 años, 1 mes y 27días.</t>
    </r>
  </si>
  <si>
    <t>Profesional de servicios especializado en la elaboración de documentos de estudios previos, requerimientos técnicos y representación judicial requeridos por la Subdirección de Defensa Judicial y Prevención del Daño Antijurídico del Departamento Administrativo de Gestión Jurídica Pública.</t>
  </si>
  <si>
    <t>1.Apoyar a la Subdirección de Defensa Judicial y Prevención del Daño Antijurídico del Departamento Administrativo de Gestión Jurídica Pública, en la elaboración  de estudios previos, requerimientos técnicos y demás documentos relacionados con temas de contratación que le sean asignados.2.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3.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4. Asistir a las jornadas de socialización, mesas técnicas, mesas de estudio y comités de fortalecimiento a los que sea convocado. 5.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6. Proyectar los conceptos jurídicos, requerimientos y respuestas a solicitudes o peticiones que le sean asignados. 7.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</si>
  <si>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Veintiún millones ochocientos sesenta y cuatro mil quinientos pesos M/cte</t>
  </si>
  <si>
    <t xml:space="preserve">Cuatro </t>
  </si>
  <si>
    <t>Cuatro (4) cuotas; una (1) cuota de Tres millones ciento veintitrés mil quinientos pesos m/cte y tres (3) cuotas de Seis millones doscientos cuarenta y siete mil pesos m/cte</t>
  </si>
  <si>
    <t>Tres millones ciento veintitres mil quinientos pesos M/cte</t>
  </si>
  <si>
    <t>https://community.secop.gov.co/Public/Tendering/OpportunityDetail/Index?noticeUID=CO1.NTC.9824759&amp;isFromPublicArea=True&amp;isModal=False</t>
  </si>
  <si>
    <t>mcortescast@gmail.com</t>
  </si>
  <si>
    <t>4121.010.32.1.081</t>
  </si>
  <si>
    <t>4121.010.26.1.081</t>
  </si>
  <si>
    <t>MAURICIO SANDOVAL TELLEZ</t>
  </si>
  <si>
    <t>79.431.493 de Bogotá D.C</t>
  </si>
  <si>
    <t>pendiente</t>
  </si>
  <si>
    <t>Bachiller Comercial de la Escuela Nacional de Comercio, graduado el 29/noviembre/1986.</t>
  </si>
  <si>
    <t xml:space="preserve">Prestación de servicios de apoyo a la gestión de la Subdirección de Defensa Judicial y Prevención del Daño Antijurídico del Departamento Administrativo de Gestión Jurídica Pública del Distrito Especial de Santiago de Cali, en lo correspondiente al seguimiento del cumplimiento de los fallos de las acciones constitucionales. </t>
  </si>
  <si>
    <t>1. Brindar apoyo al profesional universitario y coordinador responsables del seguimiento y control de las acciones constitucionales en contra del Distrito Especial de Santiago de Cali o en las que haya sido vinculado. 2. Brindar apoyo al desarrollo de las actividades administrativas en centro de documentación y correspondencia  de la subdirección de Defensa Judicial y Prevención del Daño Antijurídico. 3. Asistir a las mesas técnicas que sean convocadas para el control de las acciones constitucionales en contra del Distrito Especial de Santiago de Cali o en las que haya sido vinculado. 4. Elaborar comunicaciones oficiales, actas y demás documentos que solicite el (la) Subdirector(a) de Defensa Judicial y Prevención del Daño Antijurídico.5. Atender las demás solicitudes que realice el (la) Director (a) del el Departamento Administrativo de Gestión Jurídica Pública o el supervisor, relacionadas con el objeto del contrato.</t>
  </si>
  <si>
    <t>Siete millones trescientos ochenta y un mil quinientos pesos M/cte</t>
  </si>
  <si>
    <t>Cuatro (4) cuotas: Una (1) cuota de Un millón cincuenta y cuatro mil quinietos pesos M/cte y Tres (3) cuotas de Dos millones ciento nueve mil pesos m/cte</t>
  </si>
  <si>
    <t>Un millón cincuenta y cuatro mil quinientos pesos M/cte</t>
  </si>
  <si>
    <t>https://community.secop.gov.co/Public/Tendering/OpportunityDetail/Index?noticeUID=CO1.NTC.9843751&amp;isFromPublicArea=True&amp;isModal=False</t>
  </si>
  <si>
    <t>mausantell2@hotmail.com</t>
  </si>
  <si>
    <t>CR 64 A 1 C 29 BRR LA CASCADA</t>
  </si>
  <si>
    <t>4121.010.32.1.082</t>
  </si>
  <si>
    <t>4121.010.26.1.082</t>
  </si>
  <si>
    <t>MARÍA CAMILA PAYAN OSPINA</t>
  </si>
  <si>
    <t>1.144.099.848 de Cali</t>
  </si>
  <si>
    <t>Abogada de la Universidad Libre de Cali, graduada el 24/11/2021</t>
  </si>
  <si>
    <t>374463 del Consejo Superior de la Judicatura, expedida el 29/12/2021</t>
  </si>
  <si>
    <t>Desde el 01/03/2022 al 30/03/2024, 2 años y 29 dias, en ABOGAR LTDA.</t>
  </si>
  <si>
    <t>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</si>
  <si>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Treinta (30) de junio del Dos mil veinticinco (2025)</t>
  </si>
  <si>
    <t>Dieciseis millones ochocientos diecisiete mil quinientos pesos M/cte</t>
  </si>
  <si>
    <t>Una (1) cuota de Dos millones cuatrocientos dos mil quinientos pesos M/cte ($2.402.500) y Tres (3) cuotas de Cuatro millones ochocientos cinco mil pesos M/cte</t>
  </si>
  <si>
    <t>Dos millones cuatrocientos dos mil quinientos pesos M/cte</t>
  </si>
  <si>
    <t>202541370400005024 del 28 de enero de 2026</t>
  </si>
  <si>
    <t>https://community.secop.gov.co/Public/Tendering/OpportunityDetail/Index?noticeUID=CO1.NTC.9857357&amp;isFromPublicArea=True&amp;isModal=False</t>
  </si>
  <si>
    <t>mcamilapospina@gmail.com</t>
  </si>
  <si>
    <t>*Desde 18/abril/2024 hasta 30/diciembre/2024, 8 meses y 12 días, en Parques Nacionales Naturales de Colombia. *Desde 29/mayo/2023 hasta 29/diciembre/2023,  7 meses, en Alcaldia de Santiago de Cali. *Desde 21/julio/2022 hasta 30/septiembre/2022,  2 meses y 9 días, en Alcaldia de Santiago de Cali. *Desde 18/enero/2022 hasta 30/junio/2022,  5 meses y 12 días, en Alcaldia de Santiago de Cali. *Desde 07/octubre/2021 hasta 31/diciembre/2021, 2 meses y 24 días, en Alcaldía de Santiago de Cali.</t>
  </si>
  <si>
    <t>año</t>
  </si>
  <si>
    <t>mes</t>
  </si>
  <si>
    <t>dia</t>
  </si>
  <si>
    <t>*Desde 13/Jun/2024 hasta 31/Oct/2024, 4 meses y 8 dias,  Alcaldía de Santiago de Cali.* Desde 19/ene/2024 hasta 30/abr/2024, 3 meses y 10 dias,  Alcaldía de Santiago de Cali.Desde 
7/jul/2023 hasta 29/12/2023, 5 meses y 22 dias, Alcaldía de Santiago de Cali. *Desde 8/may/2023 hasta 30/jun/2023, 1 mes y 22 dias, Alcaldía de Santiago de Cali. *Desde 12/jul/2022 hasta 30/dic/2022, 5 meses y 18 dias,  Alcaldía de Santiago de Cali.*Desde 14/jul/2020 hasta 31/oct/2020, 3 meses y 17 dias, Alcaldía de Santiago de Cali *Desde 17/abr/2020 hasta 30/jun/2020,2 meses y 13 dias, Alcaldía de Santiago de Cali. *Desde 24/feb/2020 hasta 31/marz/2020, 1 mes y 7 dias,Alcaldía de Santiago de Cali. *Desde 9/may/2019 hasta 27/dic/2019, 7 meses y 18 días, Alcaldía de Santiago de Cali. *Desde10/jul/2018 hasta 27/dic/2018, 5 meses y 17 días, Alcaldía de Santiago de Cali, *Desde 16/ene/2018 hasta 29/jun/2018, 5 meses y 13 días, Alcaldía de Santiago de Cali.</t>
  </si>
  <si>
    <t>3 años</t>
  </si>
  <si>
    <t>REVISION DOCUEMENTOS</t>
  </si>
  <si>
    <t>QUIEN APRUEBA</t>
  </si>
  <si>
    <t>HV</t>
  </si>
  <si>
    <t>APROBADOS</t>
  </si>
  <si>
    <t>JET</t>
  </si>
  <si>
    <t>IMPRESA</t>
  </si>
  <si>
    <t>VIVI</t>
  </si>
  <si>
    <t>JET-VIVI</t>
  </si>
  <si>
    <t>APROBDOS</t>
  </si>
  <si>
    <t>PENDIENTE DOCUMENTOS</t>
  </si>
  <si>
    <t>RETIRAR ITEM 21 Y CARGAR ITEM 29 DILIGENCIADO A MANO</t>
  </si>
  <si>
    <t xml:space="preserve">APROBADOS </t>
  </si>
  <si>
    <t>FALTAN VARIOS DOCUMENTOS</t>
  </si>
  <si>
    <t>jet</t>
  </si>
  <si>
    <t>PENDIENTE revisar</t>
  </si>
  <si>
    <t>OSSCAR YESID GUZMAN</t>
  </si>
  <si>
    <t xml:space="preserve">PENDIENTE EXPERIENCIA, PACO E ITEM 29 </t>
  </si>
  <si>
    <t>JET  VIVI</t>
  </si>
  <si>
    <t>IMRESA</t>
  </si>
  <si>
    <t xml:space="preserve">PEND 29 Y CARTA Y 21 BORRAR </t>
  </si>
  <si>
    <t>PENDIENTE POR DOCUMENTOS</t>
  </si>
  <si>
    <t>MARÍA CAMILA PAYÁN OSPINA</t>
  </si>
  <si>
    <t>PENDIENTE POR HABILITAR</t>
  </si>
  <si>
    <t>APROBADA</t>
  </si>
  <si>
    <t>JOSE DAVID GIRALDO GUTIÉRREZ</t>
  </si>
  <si>
    <t>NO VA</t>
  </si>
  <si>
    <t>APROBADO</t>
  </si>
  <si>
    <t>APROBADOS PEND LIBRETA PREGUNTAR</t>
  </si>
  <si>
    <t>EMMANUEL ALJURE DOMINGUEZ</t>
  </si>
  <si>
    <t>PENDIENTE VALIDAR</t>
  </si>
  <si>
    <t>JUAN SEBASTIAN BOCANEGRA RENGIJO</t>
  </si>
  <si>
    <t>OSSCAR YESID</t>
  </si>
  <si>
    <t>LAURA ALEJANDRA SANDOVAL CORREA</t>
  </si>
</sst>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164" formatCode="_-&quot;$&quot;* #,##0_-;\-&quot;$&quot;* #,##0_-;_-&quot;$&quot;* &quot;-&quot;_-;_-@"/>
    <numFmt numFmtId="165" formatCode="d/m/yyyy"/>
    <numFmt numFmtId="166" formatCode="_-&quot;$&quot;\ * #,##0_-;\-&quot;$&quot;\ * #,##0_-;_-&quot;$&quot;\ * &quot;-&quot;_-;_-@"/>
    <numFmt numFmtId="167" formatCode="[$$-240A]\ #,##0.00"/>
    <numFmt numFmtId="168" formatCode="d&quot; de &quot;mmmm&quot; de &quot;yyyy"/>
    <numFmt numFmtId="169" formatCode="_-&quot;$&quot;* #,##0_-;\-&quot;$&quot;* #,##0_-;_-&quot;$&quot;* &quot;-&quot;??_-;_-@"/>
    <numFmt numFmtId="170" formatCode="mmmm\ d&quot; de &quot;yyyy"/>
    <numFmt numFmtId="171" formatCode="mmmm\ d\ yyyy"/>
    <numFmt numFmtId="172" formatCode="[$ $]#,##0"/>
    <numFmt numFmtId="173" formatCode="_(&quot;$&quot;\ * #,##0_);_(&quot;$&quot;\ * \(#,##0\);_(&quot;$&quot;\ * &quot;-&quot;_);_(@_)"/>
    <numFmt numFmtId="174" formatCode="_-&quot;$&quot;\ * #,##0_-;\-&quot;$&quot;\ * #,##0_-;_-&quot;$&quot;\ * &quot;-&quot;??_-;_-@"/>
    <numFmt numFmtId="175" formatCode="[$$-240A]\ #,##0"/>
    <numFmt numFmtId="176" formatCode="dd/mm/yyyy"/>
  </numFmts>
  <fonts count="40" x14ac:knownFonts="1">
    <font>
      <sz val="12"/>
      <color rgb="FF000000"/>
      <name val="Calibri"/>
      <scheme val="minor"/>
    </font>
    <font>
      <b/>
      <sz val="11"/>
      <color theme="1"/>
      <name val="Arial"/>
    </font>
    <font>
      <b/>
      <sz val="11"/>
      <color rgb="FF434343"/>
      <name val="Arial"/>
    </font>
    <font>
      <b/>
      <sz val="11"/>
      <color rgb="FF000000"/>
      <name val="Arial"/>
    </font>
    <font>
      <sz val="13"/>
      <color theme="1"/>
      <name val="Arial"/>
    </font>
    <font>
      <sz val="11"/>
      <color theme="1"/>
      <name val="Arial"/>
    </font>
    <font>
      <sz val="11"/>
      <color rgb="FF1F1F1F"/>
      <name val="Arial"/>
    </font>
    <font>
      <sz val="11"/>
      <color rgb="FF434343"/>
      <name val="Arial"/>
    </font>
    <font>
      <sz val="11"/>
      <color rgb="FF000000"/>
      <name val="Arial"/>
    </font>
    <font>
      <sz val="10"/>
      <color theme="1"/>
      <name val="Arial"/>
    </font>
    <font>
      <u/>
      <sz val="11"/>
      <color rgb="FF0000FF"/>
      <name val="Arial"/>
    </font>
    <font>
      <sz val="10"/>
      <color rgb="FF000000"/>
      <name val="Arial"/>
    </font>
    <font>
      <sz val="12"/>
      <color rgb="FF000000"/>
      <name val="Calibri"/>
    </font>
    <font>
      <sz val="12"/>
      <color theme="1"/>
      <name val="Arial"/>
    </font>
    <font>
      <u/>
      <sz val="11"/>
      <color theme="1"/>
      <name val="Arial"/>
    </font>
    <font>
      <u/>
      <sz val="11"/>
      <color theme="1"/>
      <name val="Arial"/>
    </font>
    <font>
      <sz val="11"/>
      <color theme="1"/>
      <name val="Calibri"/>
    </font>
    <font>
      <u/>
      <sz val="11"/>
      <color rgb="FF000000"/>
      <name val="Arial"/>
    </font>
    <font>
      <sz val="10"/>
      <color theme="1"/>
      <name val="Calibri"/>
    </font>
    <font>
      <sz val="12"/>
      <color theme="1"/>
      <name val="Calibri"/>
      <scheme val="minor"/>
    </font>
    <font>
      <u/>
      <sz val="11"/>
      <color rgb="FF0563C1"/>
      <name val="Arial"/>
    </font>
    <font>
      <u/>
      <sz val="12"/>
      <color theme="10"/>
      <name val="Calibri"/>
    </font>
    <font>
      <u/>
      <sz val="11"/>
      <color rgb="FF0563C1"/>
      <name val="Arial"/>
    </font>
    <font>
      <sz val="9"/>
      <color rgb="FF1F1F1F"/>
      <name val="Arial"/>
    </font>
    <font>
      <sz val="12"/>
      <color theme="1"/>
      <name val="Calibri"/>
    </font>
    <font>
      <sz val="11"/>
      <color rgb="FFFF0000"/>
      <name val="Arial"/>
    </font>
    <font>
      <sz val="12"/>
      <color rgb="FF000000"/>
      <name val="Arial"/>
    </font>
    <font>
      <u/>
      <sz val="11"/>
      <color rgb="FF000000"/>
      <name val="Arial"/>
    </font>
    <font>
      <sz val="11"/>
      <color rgb="FF9900FF"/>
      <name val="Arial"/>
    </font>
    <font>
      <sz val="11"/>
      <color rgb="FF0563C1"/>
      <name val="Arial"/>
    </font>
    <font>
      <sz val="10"/>
      <color rgb="FFFF0000"/>
      <name val="Arial"/>
    </font>
    <font>
      <sz val="14"/>
      <color rgb="FF434343"/>
      <name val="Calibri"/>
    </font>
    <font>
      <sz val="14"/>
      <color theme="1"/>
      <name val="Calibri"/>
    </font>
    <font>
      <sz val="12"/>
      <color rgb="FF434343"/>
      <name val="Calibri"/>
    </font>
    <font>
      <sz val="12"/>
      <color theme="10"/>
      <name val="Calibri"/>
    </font>
    <font>
      <u/>
      <sz val="12"/>
      <color theme="10"/>
      <name val="Calibri"/>
    </font>
    <font>
      <u/>
      <sz val="12"/>
      <color theme="10"/>
      <name val="Calibri"/>
    </font>
    <font>
      <sz val="13"/>
      <color theme="1"/>
      <name val="Calibri"/>
    </font>
    <font>
      <b/>
      <sz val="12"/>
      <color rgb="FF000000"/>
      <name val="Calibri"/>
    </font>
    <font>
      <sz val="11"/>
      <color theme="5"/>
      <name val="Arial"/>
    </font>
  </fonts>
  <fills count="12">
    <fill>
      <patternFill patternType="none"/>
    </fill>
    <fill>
      <patternFill patternType="gray125"/>
    </fill>
    <fill>
      <patternFill patternType="solid">
        <fgColor rgb="FFF7CAAC"/>
        <bgColor rgb="FFF7CAAC"/>
      </patternFill>
    </fill>
    <fill>
      <patternFill patternType="solid">
        <fgColor rgb="FFFFF2CC"/>
        <bgColor rgb="FFFFF2CC"/>
      </patternFill>
    </fill>
    <fill>
      <patternFill patternType="solid">
        <fgColor rgb="FFFFE599"/>
        <bgColor rgb="FFFFE599"/>
      </patternFill>
    </fill>
    <fill>
      <patternFill patternType="solid">
        <fgColor rgb="FFFFFFFF"/>
        <bgColor rgb="FFFFFFFF"/>
      </patternFill>
    </fill>
    <fill>
      <patternFill patternType="solid">
        <fgColor theme="0"/>
        <bgColor theme="0"/>
      </patternFill>
    </fill>
    <fill>
      <patternFill patternType="solid">
        <fgColor rgb="FFB6D7A8"/>
        <bgColor rgb="FFB6D7A8"/>
      </patternFill>
    </fill>
    <fill>
      <patternFill patternType="solid">
        <fgColor rgb="FFCFE2F3"/>
        <bgColor rgb="FFCFE2F3"/>
      </patternFill>
    </fill>
    <fill>
      <patternFill patternType="solid">
        <fgColor rgb="FFFFFF00"/>
        <bgColor rgb="FFFFFF00"/>
      </patternFill>
    </fill>
    <fill>
      <patternFill patternType="solid">
        <fgColor rgb="FF00FFFF"/>
        <bgColor rgb="FF00FFFF"/>
      </patternFill>
    </fill>
    <fill>
      <patternFill patternType="solid">
        <fgColor rgb="FFFF9900"/>
        <bgColor rgb="FFFF9900"/>
      </patternFill>
    </fill>
  </fills>
  <borders count="41">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style="thin">
        <color rgb="FF8EA9DB"/>
      </bottom>
      <diagonal/>
    </border>
    <border>
      <left style="thin">
        <color rgb="FF000000"/>
      </left>
      <right style="thin">
        <color rgb="FF000000"/>
      </right>
      <top style="thin">
        <color rgb="FF000000"/>
      </top>
      <bottom style="thin">
        <color rgb="FF8EA9DB"/>
      </bottom>
      <diagonal/>
    </border>
    <border>
      <left style="thin">
        <color rgb="FF000000"/>
      </left>
      <right/>
      <top style="thin">
        <color rgb="FF000000"/>
      </top>
      <bottom style="thin">
        <color rgb="FF8EA9DB"/>
      </bottom>
      <diagonal/>
    </border>
    <border>
      <left style="thin">
        <color rgb="FF000000"/>
      </left>
      <right style="thin">
        <color rgb="FF000000"/>
      </right>
      <top style="thin">
        <color rgb="FF8EA9DB"/>
      </top>
      <bottom style="thin">
        <color rgb="FF8EA9DB"/>
      </bottom>
      <diagonal/>
    </border>
    <border>
      <left/>
      <right style="thin">
        <color rgb="FF000000"/>
      </right>
      <top style="thin">
        <color rgb="FF8EA9DB"/>
      </top>
      <bottom style="thin">
        <color rgb="FF8EA9DB"/>
      </bottom>
      <diagonal/>
    </border>
    <border>
      <left/>
      <right/>
      <top style="thin">
        <color rgb="FF000000"/>
      </top>
      <bottom style="thin">
        <color rgb="FF8EA9DB"/>
      </bottom>
      <diagonal/>
    </border>
    <border>
      <left/>
      <right style="thin">
        <color rgb="FF000000"/>
      </right>
      <top style="thin">
        <color rgb="FF8EA9DB"/>
      </top>
      <bottom style="thin">
        <color rgb="FF000000"/>
      </bottom>
      <diagonal/>
    </border>
    <border>
      <left/>
      <right/>
      <top style="thin">
        <color rgb="FF8EA9DB"/>
      </top>
      <bottom style="thin">
        <color rgb="FF000000"/>
      </bottom>
      <diagonal/>
    </border>
    <border>
      <left/>
      <right/>
      <top style="thin">
        <color rgb="FF8EA9DB"/>
      </top>
      <bottom style="thin">
        <color rgb="FF000000"/>
      </bottom>
      <diagonal/>
    </border>
    <border>
      <left/>
      <right style="thin">
        <color rgb="FF000000"/>
      </right>
      <top style="thin">
        <color rgb="FF8EA9DB"/>
      </top>
      <bottom/>
      <diagonal/>
    </border>
  </borders>
  <cellStyleXfs count="1">
    <xf numFmtId="0" fontId="0" fillId="0" borderId="0"/>
  </cellStyleXfs>
  <cellXfs count="634">
    <xf numFmtId="0" fontId="0" fillId="0" borderId="0" xfId="0" applyFont="1" applyAlignment="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165" fontId="1" fillId="2" borderId="3" xfId="0" applyNumberFormat="1"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3" fillId="2" borderId="1" xfId="0" applyFont="1" applyFill="1" applyBorder="1" applyAlignment="1">
      <alignment horizontal="center" vertical="center" wrapText="1"/>
    </xf>
    <xf numFmtId="166" fontId="1" fillId="2" borderId="1" xfId="0" applyNumberFormat="1" applyFont="1" applyFill="1" applyBorder="1" applyAlignment="1">
      <alignment horizontal="right" vertical="center" wrapText="1"/>
    </xf>
    <xf numFmtId="166" fontId="1" fillId="3" borderId="1" xfId="0" applyNumberFormat="1" applyFont="1" applyFill="1" applyBorder="1" applyAlignment="1">
      <alignment horizontal="center" vertical="center" wrapText="1"/>
    </xf>
    <xf numFmtId="166" fontId="1" fillId="3" borderId="1" xfId="0" applyNumberFormat="1"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2" borderId="4" xfId="0" applyFont="1" applyFill="1" applyBorder="1" applyAlignment="1">
      <alignment horizontal="center" vertical="center"/>
    </xf>
    <xf numFmtId="165" fontId="5" fillId="0" borderId="4" xfId="0" applyNumberFormat="1" applyFont="1" applyBorder="1" applyAlignment="1">
      <alignment horizontal="left" vertical="top" wrapText="1"/>
    </xf>
    <xf numFmtId="0" fontId="5" fillId="0" borderId="4" xfId="0" applyFont="1" applyBorder="1" applyAlignment="1">
      <alignment horizontal="left" vertical="top" wrapText="1"/>
    </xf>
    <xf numFmtId="0" fontId="5" fillId="0" borderId="4" xfId="0" applyFont="1" applyBorder="1" applyAlignment="1">
      <alignment horizontal="left" vertical="center"/>
    </xf>
    <xf numFmtId="0" fontId="5" fillId="0" borderId="7" xfId="0" applyFont="1" applyBorder="1" applyAlignment="1">
      <alignment horizontal="left" vertical="top" wrapText="1"/>
    </xf>
    <xf numFmtId="0" fontId="5" fillId="0" borderId="8" xfId="0" applyFont="1" applyBorder="1" applyAlignment="1">
      <alignment vertical="top" wrapText="1"/>
    </xf>
    <xf numFmtId="0" fontId="5" fillId="0" borderId="4" xfId="0" applyFont="1" applyBorder="1" applyAlignment="1">
      <alignment vertical="top" wrapText="1"/>
    </xf>
    <xf numFmtId="167" fontId="5" fillId="0" borderId="4" xfId="0" applyNumberFormat="1" applyFont="1" applyBorder="1" applyAlignment="1">
      <alignment vertical="center" wrapText="1"/>
    </xf>
    <xf numFmtId="167" fontId="5" fillId="0" borderId="9" xfId="0" applyNumberFormat="1" applyFont="1" applyBorder="1" applyAlignment="1">
      <alignment vertical="center" wrapText="1"/>
    </xf>
    <xf numFmtId="0" fontId="5" fillId="0" borderId="10" xfId="0" applyFont="1" applyBorder="1" applyAlignment="1">
      <alignment vertical="top" wrapText="1"/>
    </xf>
    <xf numFmtId="0" fontId="5" fillId="0" borderId="10" xfId="0" applyFont="1" applyBorder="1" applyAlignment="1">
      <alignment vertical="center" wrapText="1"/>
    </xf>
    <xf numFmtId="0" fontId="5" fillId="0" borderId="10" xfId="0" applyFont="1" applyBorder="1" applyAlignment="1">
      <alignment vertical="center"/>
    </xf>
    <xf numFmtId="0" fontId="5" fillId="0" borderId="4"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4" xfId="0" applyFont="1" applyBorder="1" applyAlignment="1">
      <alignment horizontal="center" vertical="center"/>
    </xf>
    <xf numFmtId="168" fontId="5" fillId="0" borderId="4" xfId="0" applyNumberFormat="1" applyFont="1" applyBorder="1" applyAlignment="1">
      <alignment horizontal="center" vertical="center" wrapText="1"/>
    </xf>
    <xf numFmtId="164" fontId="5" fillId="0" borderId="4" xfId="0" applyNumberFormat="1" applyFont="1" applyBorder="1" applyAlignment="1">
      <alignment horizontal="center" vertical="center"/>
    </xf>
    <xf numFmtId="0" fontId="6" fillId="5" borderId="4" xfId="0" applyFont="1" applyFill="1" applyBorder="1" applyAlignment="1">
      <alignment wrapText="1"/>
    </xf>
    <xf numFmtId="0" fontId="5" fillId="5" borderId="4" xfId="0" applyFont="1" applyFill="1" applyBorder="1" applyAlignment="1">
      <alignment horizontal="center" vertical="center"/>
    </xf>
    <xf numFmtId="0" fontId="5" fillId="5" borderId="11" xfId="0" applyFont="1" applyFill="1" applyBorder="1" applyAlignment="1">
      <alignment horizontal="left" vertical="top" wrapText="1"/>
    </xf>
    <xf numFmtId="0" fontId="5" fillId="5" borderId="4" xfId="0" applyFont="1" applyFill="1" applyBorder="1" applyAlignment="1">
      <alignment horizontal="left" vertical="center" wrapText="1"/>
    </xf>
    <xf numFmtId="0" fontId="5" fillId="5" borderId="12" xfId="0" applyFont="1" applyFill="1" applyBorder="1" applyAlignment="1">
      <alignment vertical="center" wrapText="1"/>
    </xf>
    <xf numFmtId="0" fontId="5" fillId="0" borderId="7" xfId="0" applyFont="1" applyBorder="1" applyAlignment="1">
      <alignment horizontal="left" vertical="center" wrapText="1"/>
    </xf>
    <xf numFmtId="0" fontId="5" fillId="5" borderId="4" xfId="0" applyFont="1" applyFill="1" applyBorder="1" applyAlignment="1">
      <alignment vertical="center" wrapText="1"/>
    </xf>
    <xf numFmtId="3" fontId="5" fillId="0" borderId="9" xfId="0" applyNumberFormat="1" applyFont="1" applyBorder="1" applyAlignment="1">
      <alignment horizontal="center" vertical="center" wrapText="1"/>
    </xf>
    <xf numFmtId="0" fontId="5" fillId="0" borderId="9" xfId="0" applyFont="1" applyBorder="1" applyAlignment="1">
      <alignment horizontal="center" vertical="center"/>
    </xf>
    <xf numFmtId="3" fontId="7" fillId="0" borderId="4" xfId="0" applyNumberFormat="1" applyFont="1" applyBorder="1" applyAlignment="1">
      <alignment horizontal="center" vertical="center" wrapText="1"/>
    </xf>
    <xf numFmtId="0" fontId="8" fillId="0" borderId="10" xfId="0" applyFont="1" applyBorder="1" applyAlignment="1">
      <alignment vertical="top" wrapText="1"/>
    </xf>
    <xf numFmtId="0" fontId="8" fillId="0" borderId="10" xfId="0" applyFont="1" applyBorder="1" applyAlignment="1">
      <alignment horizontal="center" vertical="top" wrapText="1"/>
    </xf>
    <xf numFmtId="0" fontId="8" fillId="5" borderId="13" xfId="0" applyFont="1" applyFill="1" applyBorder="1" applyAlignment="1">
      <alignment horizontal="left" vertical="top" wrapText="1"/>
    </xf>
    <xf numFmtId="0" fontId="8" fillId="5" borderId="12" xfId="0" applyFont="1" applyFill="1" applyBorder="1" applyAlignment="1">
      <alignment vertical="top" wrapText="1"/>
    </xf>
    <xf numFmtId="0" fontId="5" fillId="0" borderId="9" xfId="0" applyFont="1" applyBorder="1" applyAlignment="1">
      <alignment vertical="top" wrapText="1"/>
    </xf>
    <xf numFmtId="0" fontId="8" fillId="0" borderId="4" xfId="0" applyFont="1" applyBorder="1" applyAlignment="1">
      <alignment vertical="top" wrapText="1"/>
    </xf>
    <xf numFmtId="0" fontId="5" fillId="0" borderId="4" xfId="0" applyFont="1" applyBorder="1" applyAlignment="1">
      <alignment horizontal="left" vertical="center" wrapText="1"/>
    </xf>
    <xf numFmtId="166" fontId="5" fillId="0" borderId="4" xfId="0" applyNumberFormat="1" applyFont="1" applyBorder="1" applyAlignment="1">
      <alignment horizontal="left" vertical="center" wrapText="1"/>
    </xf>
    <xf numFmtId="3" fontId="5" fillId="0" borderId="4" xfId="0" applyNumberFormat="1" applyFont="1" applyBorder="1" applyAlignment="1">
      <alignment horizontal="right" vertical="center"/>
    </xf>
    <xf numFmtId="0" fontId="5" fillId="0" borderId="4" xfId="0" applyFont="1" applyBorder="1"/>
    <xf numFmtId="169" fontId="9" fillId="0" borderId="4" xfId="0" applyNumberFormat="1" applyFont="1" applyBorder="1" applyAlignment="1">
      <alignment horizontal="center" vertical="center"/>
    </xf>
    <xf numFmtId="167" fontId="5" fillId="0" borderId="4" xfId="0" applyNumberFormat="1" applyFont="1" applyBorder="1" applyAlignment="1">
      <alignment horizontal="center" vertical="center"/>
    </xf>
    <xf numFmtId="167" fontId="5" fillId="0" borderId="4" xfId="0" applyNumberFormat="1" applyFont="1" applyBorder="1" applyAlignment="1">
      <alignment horizontal="left" vertical="center"/>
    </xf>
    <xf numFmtId="0" fontId="8" fillId="0" borderId="4" xfId="0" applyFont="1" applyBorder="1" applyAlignment="1">
      <alignment horizontal="left" wrapText="1"/>
    </xf>
    <xf numFmtId="170" fontId="8" fillId="0" borderId="4" xfId="0" applyNumberFormat="1" applyFont="1" applyBorder="1" applyAlignment="1">
      <alignment horizontal="center"/>
    </xf>
    <xf numFmtId="0" fontId="8" fillId="0" borderId="4" xfId="0" applyFont="1" applyBorder="1" applyAlignment="1">
      <alignment horizontal="center"/>
    </xf>
    <xf numFmtId="170" fontId="8" fillId="5" borderId="4" xfId="0" applyNumberFormat="1" applyFont="1" applyFill="1" applyBorder="1" applyAlignment="1">
      <alignment horizontal="center"/>
    </xf>
    <xf numFmtId="170" fontId="5" fillId="0" borderId="4" xfId="0" applyNumberFormat="1" applyFont="1" applyBorder="1" applyAlignment="1">
      <alignment horizontal="center"/>
    </xf>
    <xf numFmtId="170" fontId="8" fillId="5" borderId="4" xfId="0" applyNumberFormat="1" applyFont="1" applyFill="1" applyBorder="1" applyAlignment="1">
      <alignment horizontal="left" vertical="center" wrapText="1"/>
    </xf>
    <xf numFmtId="0" fontId="8" fillId="5" borderId="4" xfId="0" applyFont="1" applyFill="1" applyBorder="1" applyAlignment="1">
      <alignment horizontal="left" vertical="center" wrapText="1"/>
    </xf>
    <xf numFmtId="4" fontId="8" fillId="5" borderId="4" xfId="0" applyNumberFormat="1" applyFont="1" applyFill="1" applyBorder="1" applyAlignment="1">
      <alignment horizontal="left" vertical="center" wrapText="1"/>
    </xf>
    <xf numFmtId="170" fontId="8" fillId="5" borderId="14" xfId="0" applyNumberFormat="1" applyFont="1" applyFill="1" applyBorder="1" applyAlignment="1">
      <alignment horizontal="left" vertical="center" wrapText="1"/>
    </xf>
    <xf numFmtId="0" fontId="10" fillId="0" borderId="4" xfId="0" applyFont="1" applyBorder="1" applyAlignment="1">
      <alignment horizontal="center" vertical="center"/>
    </xf>
    <xf numFmtId="0" fontId="5" fillId="0" borderId="10" xfId="0" applyFont="1" applyBorder="1" applyAlignment="1">
      <alignment horizontal="left"/>
    </xf>
    <xf numFmtId="0" fontId="5" fillId="0" borderId="10" xfId="0" applyFont="1" applyBorder="1" applyAlignment="1">
      <alignment horizontal="center"/>
    </xf>
    <xf numFmtId="0" fontId="5" fillId="0" borderId="4" xfId="0" applyFont="1" applyBorder="1" applyAlignment="1">
      <alignment horizontal="center"/>
    </xf>
    <xf numFmtId="167" fontId="5" fillId="0" borderId="8" xfId="0" applyNumberFormat="1" applyFont="1" applyBorder="1" applyAlignment="1">
      <alignment vertical="center" wrapText="1"/>
    </xf>
    <xf numFmtId="0" fontId="11" fillId="0" borderId="4" xfId="0" applyFont="1" applyBorder="1" applyAlignment="1">
      <alignment horizontal="left" vertical="top" wrapText="1"/>
    </xf>
    <xf numFmtId="0" fontId="11" fillId="0" borderId="4" xfId="0" applyFont="1" applyBorder="1" applyAlignment="1">
      <alignment horizontal="left" vertical="center" wrapText="1"/>
    </xf>
    <xf numFmtId="0" fontId="5" fillId="0" borderId="10" xfId="0" applyFont="1" applyBorder="1" applyAlignment="1">
      <alignment horizontal="center" vertical="center"/>
    </xf>
    <xf numFmtId="0" fontId="5" fillId="5" borderId="12" xfId="0" applyFont="1" applyFill="1" applyBorder="1" applyAlignment="1">
      <alignment vertical="center"/>
    </xf>
    <xf numFmtId="0" fontId="8" fillId="5" borderId="4" xfId="0" applyFont="1" applyFill="1" applyBorder="1" applyAlignment="1">
      <alignment vertical="center" wrapText="1"/>
    </xf>
    <xf numFmtId="0" fontId="5" fillId="0" borderId="9" xfId="0" applyFont="1" applyBorder="1" applyAlignment="1">
      <alignment horizontal="center" vertical="center" wrapText="1"/>
    </xf>
    <xf numFmtId="1" fontId="5" fillId="0" borderId="9" xfId="0" applyNumberFormat="1" applyFont="1" applyBorder="1" applyAlignment="1">
      <alignment horizontal="center" vertical="center" wrapText="1"/>
    </xf>
    <xf numFmtId="0" fontId="8" fillId="0" borderId="4" xfId="0" applyFont="1" applyBorder="1" applyAlignment="1">
      <alignment horizontal="center" vertical="center"/>
    </xf>
    <xf numFmtId="49" fontId="8" fillId="0" borderId="10" xfId="0" applyNumberFormat="1" applyFont="1" applyBorder="1" applyAlignment="1">
      <alignment horizontal="center" wrapText="1"/>
    </xf>
    <xf numFmtId="49" fontId="8" fillId="5" borderId="12" xfId="0" applyNumberFormat="1" applyFont="1" applyFill="1" applyBorder="1" applyAlignment="1">
      <alignment horizontal="left" vertical="top" wrapText="1"/>
    </xf>
    <xf numFmtId="0" fontId="8" fillId="5" borderId="4" xfId="0" applyFont="1" applyFill="1" applyBorder="1" applyAlignment="1">
      <alignment vertical="top" wrapText="1"/>
    </xf>
    <xf numFmtId="166" fontId="5" fillId="0" borderId="4" xfId="0" applyNumberFormat="1" applyFont="1" applyBorder="1" applyAlignment="1">
      <alignment horizontal="center" vertical="center"/>
    </xf>
    <xf numFmtId="0" fontId="8" fillId="0" borderId="10" xfId="0" applyFont="1" applyBorder="1" applyAlignment="1">
      <alignment horizontal="center"/>
    </xf>
    <xf numFmtId="170" fontId="8" fillId="0" borderId="4" xfId="0" applyNumberFormat="1" applyFont="1" applyBorder="1" applyAlignment="1">
      <alignment horizontal="left" vertical="center" wrapText="1"/>
    </xf>
    <xf numFmtId="170" fontId="8" fillId="0" borderId="7" xfId="0" applyNumberFormat="1" applyFont="1" applyBorder="1" applyAlignment="1">
      <alignment horizontal="left" vertical="center" wrapText="1"/>
    </xf>
    <xf numFmtId="0" fontId="5" fillId="0" borderId="9" xfId="0" applyFont="1" applyBorder="1" applyAlignment="1">
      <alignment horizontal="left" vertical="center" wrapText="1"/>
    </xf>
    <xf numFmtId="0" fontId="5" fillId="0" borderId="4" xfId="0" applyFont="1" applyBorder="1" applyAlignment="1">
      <alignment horizontal="center" wrapText="1"/>
    </xf>
    <xf numFmtId="0" fontId="5" fillId="0" borderId="10" xfId="0" applyFont="1" applyBorder="1" applyAlignment="1">
      <alignment horizontal="left" vertical="center" wrapText="1"/>
    </xf>
    <xf numFmtId="0" fontId="5" fillId="5" borderId="15" xfId="0" applyFont="1" applyFill="1" applyBorder="1" applyAlignment="1">
      <alignment horizontal="left" vertical="center" wrapText="1"/>
    </xf>
    <xf numFmtId="1" fontId="5" fillId="0" borderId="9" xfId="0" applyNumberFormat="1" applyFont="1" applyBorder="1" applyAlignment="1">
      <alignment horizontal="center" vertical="center"/>
    </xf>
    <xf numFmtId="0" fontId="8" fillId="5" borderId="16" xfId="0" applyFont="1" applyFill="1" applyBorder="1" applyAlignment="1">
      <alignment horizontal="left" vertical="top" wrapText="1"/>
    </xf>
    <xf numFmtId="0" fontId="8" fillId="5" borderId="12" xfId="0" applyFont="1" applyFill="1" applyBorder="1" applyAlignment="1">
      <alignment horizontal="left" vertical="top" wrapText="1"/>
    </xf>
    <xf numFmtId="169" fontId="8" fillId="0" borderId="4" xfId="0" applyNumberFormat="1" applyFont="1" applyBorder="1" applyAlignment="1">
      <alignment horizontal="center" vertical="center"/>
    </xf>
    <xf numFmtId="167" fontId="5" fillId="0" borderId="4" xfId="0" applyNumberFormat="1" applyFont="1" applyBorder="1" applyAlignment="1">
      <alignment vertical="center"/>
    </xf>
    <xf numFmtId="170" fontId="8" fillId="5" borderId="15" xfId="0" applyNumberFormat="1" applyFont="1" applyFill="1" applyBorder="1" applyAlignment="1">
      <alignment horizontal="left" vertical="center" wrapText="1"/>
    </xf>
    <xf numFmtId="165" fontId="5" fillId="5" borderId="4" xfId="0" applyNumberFormat="1" applyFont="1" applyFill="1" applyBorder="1" applyAlignment="1">
      <alignment horizontal="left" vertical="top" wrapText="1"/>
    </xf>
    <xf numFmtId="0" fontId="5" fillId="5" borderId="4" xfId="0" applyFont="1" applyFill="1" applyBorder="1" applyAlignment="1">
      <alignment horizontal="left" vertical="top" wrapText="1"/>
    </xf>
    <xf numFmtId="0" fontId="5" fillId="5" borderId="15" xfId="0" applyFont="1" applyFill="1" applyBorder="1" applyAlignment="1">
      <alignment horizontal="left" vertical="top" wrapText="1"/>
    </xf>
    <xf numFmtId="0" fontId="5" fillId="5" borderId="16" xfId="0" applyFont="1" applyFill="1" applyBorder="1" applyAlignment="1">
      <alignment vertical="top" wrapText="1"/>
    </xf>
    <xf numFmtId="0" fontId="5" fillId="5" borderId="4" xfId="0" applyFont="1" applyFill="1" applyBorder="1" applyAlignment="1">
      <alignment vertical="top" wrapText="1"/>
    </xf>
    <xf numFmtId="0" fontId="5" fillId="5" borderId="10" xfId="0" applyFont="1" applyFill="1" applyBorder="1" applyAlignment="1">
      <alignment vertical="top" wrapText="1"/>
    </xf>
    <xf numFmtId="0" fontId="5" fillId="5" borderId="12" xfId="0" applyFont="1" applyFill="1" applyBorder="1" applyAlignment="1">
      <alignment vertical="top" wrapText="1"/>
    </xf>
    <xf numFmtId="0" fontId="11" fillId="5" borderId="4" xfId="0" applyFont="1" applyFill="1" applyBorder="1" applyAlignment="1">
      <alignment horizontal="left" vertical="top" wrapText="1"/>
    </xf>
    <xf numFmtId="0" fontId="11" fillId="5" borderId="4" xfId="0" applyFont="1" applyFill="1" applyBorder="1" applyAlignment="1">
      <alignment horizontal="left" vertical="center" wrapText="1"/>
    </xf>
    <xf numFmtId="0" fontId="5" fillId="5" borderId="4" xfId="0" applyFont="1" applyFill="1" applyBorder="1" applyAlignment="1">
      <alignment horizontal="center" vertical="center" wrapText="1"/>
    </xf>
    <xf numFmtId="0" fontId="5" fillId="5" borderId="12" xfId="0" applyFont="1" applyFill="1" applyBorder="1" applyAlignment="1">
      <alignment horizontal="center" vertical="center"/>
    </xf>
    <xf numFmtId="0" fontId="5" fillId="5" borderId="13" xfId="0" applyFont="1" applyFill="1" applyBorder="1" applyAlignment="1">
      <alignment horizontal="center" vertical="center" wrapText="1"/>
    </xf>
    <xf numFmtId="1" fontId="5" fillId="5" borderId="13" xfId="0" applyNumberFormat="1" applyFont="1" applyFill="1" applyBorder="1" applyAlignment="1">
      <alignment horizontal="center" vertical="center"/>
    </xf>
    <xf numFmtId="0" fontId="5" fillId="5" borderId="4" xfId="0" applyFont="1" applyFill="1" applyBorder="1" applyAlignment="1">
      <alignment horizontal="center" vertical="top" wrapText="1"/>
    </xf>
    <xf numFmtId="0" fontId="8" fillId="5" borderId="12" xfId="0" applyFont="1" applyFill="1" applyBorder="1" applyAlignment="1">
      <alignment horizontal="center" vertical="top" wrapText="1"/>
    </xf>
    <xf numFmtId="0" fontId="12" fillId="5" borderId="6" xfId="0" applyFont="1" applyFill="1" applyBorder="1" applyAlignment="1">
      <alignment wrapText="1"/>
    </xf>
    <xf numFmtId="0" fontId="8" fillId="5" borderId="16" xfId="0" applyFont="1" applyFill="1" applyBorder="1" applyAlignment="1">
      <alignment wrapText="1"/>
    </xf>
    <xf numFmtId="0" fontId="13" fillId="5" borderId="4" xfId="0" applyFont="1" applyFill="1" applyBorder="1" applyAlignment="1">
      <alignment wrapText="1"/>
    </xf>
    <xf numFmtId="0" fontId="8" fillId="5" borderId="4" xfId="0" applyFont="1" applyFill="1" applyBorder="1" applyAlignment="1">
      <alignment horizontal="center" vertical="center"/>
    </xf>
    <xf numFmtId="166" fontId="8" fillId="5" borderId="4" xfId="0" applyNumberFormat="1" applyFont="1" applyFill="1" applyBorder="1" applyAlignment="1">
      <alignment horizontal="center" vertical="center"/>
    </xf>
    <xf numFmtId="167" fontId="5" fillId="5" borderId="4" xfId="0" applyNumberFormat="1" applyFont="1" applyFill="1" applyBorder="1" applyAlignment="1">
      <alignment horizontal="center" vertical="center"/>
    </xf>
    <xf numFmtId="167" fontId="5" fillId="5" borderId="4" xfId="0" applyNumberFormat="1" applyFont="1" applyFill="1" applyBorder="1" applyAlignment="1">
      <alignment horizontal="left" vertical="center"/>
    </xf>
    <xf numFmtId="0" fontId="5" fillId="5" borderId="12" xfId="0" applyFont="1" applyFill="1" applyBorder="1" applyAlignment="1">
      <alignment horizontal="left" vertical="center" wrapText="1"/>
    </xf>
    <xf numFmtId="0" fontId="8" fillId="5" borderId="10" xfId="0" applyFont="1" applyFill="1" applyBorder="1" applyAlignment="1">
      <alignment horizontal="center"/>
    </xf>
    <xf numFmtId="171" fontId="5" fillId="0" borderId="4" xfId="0" applyNumberFormat="1" applyFont="1" applyBorder="1" applyAlignment="1">
      <alignment horizontal="center"/>
    </xf>
    <xf numFmtId="170" fontId="5" fillId="5" borderId="4" xfId="0" applyNumberFormat="1" applyFont="1" applyFill="1" applyBorder="1" applyAlignment="1">
      <alignment horizontal="left" vertical="center" wrapText="1"/>
    </xf>
    <xf numFmtId="170" fontId="5" fillId="5" borderId="15" xfId="0" applyNumberFormat="1" applyFont="1" applyFill="1" applyBorder="1" applyAlignment="1">
      <alignment horizontal="left" vertical="center" wrapText="1"/>
    </xf>
    <xf numFmtId="0" fontId="12" fillId="0" borderId="4" xfId="0" applyFont="1" applyBorder="1" applyAlignment="1">
      <alignment horizontal="center" vertical="center"/>
    </xf>
    <xf numFmtId="0" fontId="5" fillId="5" borderId="13" xfId="0" applyFont="1" applyFill="1" applyBorder="1"/>
    <xf numFmtId="1" fontId="12" fillId="0" borderId="4" xfId="0" applyNumberFormat="1" applyFont="1" applyBorder="1" applyAlignment="1">
      <alignment horizontal="center" vertical="center"/>
    </xf>
    <xf numFmtId="0" fontId="5" fillId="5" borderId="4" xfId="0" applyFont="1" applyFill="1" applyBorder="1"/>
    <xf numFmtId="0" fontId="5" fillId="5" borderId="9" xfId="0" applyFont="1" applyFill="1" applyBorder="1" applyAlignment="1">
      <alignment vertical="top"/>
    </xf>
    <xf numFmtId="0" fontId="5" fillId="5" borderId="4" xfId="0" applyFont="1" applyFill="1" applyBorder="1" applyAlignment="1">
      <alignment vertical="top"/>
    </xf>
    <xf numFmtId="0" fontId="5" fillId="5" borderId="4" xfId="0" applyFont="1" applyFill="1" applyBorder="1" applyAlignment="1">
      <alignment horizontal="left" vertical="center"/>
    </xf>
    <xf numFmtId="3" fontId="5" fillId="5" borderId="13" xfId="0" applyNumberFormat="1" applyFont="1" applyFill="1" applyBorder="1" applyAlignment="1">
      <alignment horizontal="center" vertical="center" wrapText="1"/>
    </xf>
    <xf numFmtId="166" fontId="5" fillId="5" borderId="4" xfId="0" applyNumberFormat="1" applyFont="1" applyFill="1" applyBorder="1" applyAlignment="1">
      <alignment horizontal="center" vertical="center"/>
    </xf>
    <xf numFmtId="171" fontId="8" fillId="0" borderId="4" xfId="0" applyNumberFormat="1" applyFont="1" applyBorder="1" applyAlignment="1">
      <alignment horizontal="center"/>
    </xf>
    <xf numFmtId="171" fontId="8" fillId="5" borderId="4" xfId="0" applyNumberFormat="1" applyFont="1" applyFill="1" applyBorder="1" applyAlignment="1">
      <alignment horizontal="center"/>
    </xf>
    <xf numFmtId="171" fontId="5" fillId="0" borderId="4" xfId="0" applyNumberFormat="1" applyFont="1" applyBorder="1" applyAlignment="1">
      <alignment horizontal="left" vertical="center"/>
    </xf>
    <xf numFmtId="171" fontId="5" fillId="0" borderId="17" xfId="0" applyNumberFormat="1" applyFont="1" applyBorder="1" applyAlignment="1">
      <alignment horizontal="left" vertical="center"/>
    </xf>
    <xf numFmtId="0" fontId="5" fillId="5" borderId="12" xfId="0" applyFont="1" applyFill="1" applyBorder="1" applyAlignment="1">
      <alignment horizontal="left"/>
    </xf>
    <xf numFmtId="0" fontId="5" fillId="5" borderId="12" xfId="0" applyFont="1" applyFill="1" applyBorder="1" applyAlignment="1">
      <alignment horizontal="center"/>
    </xf>
    <xf numFmtId="0" fontId="5" fillId="5" borderId="4" xfId="0" applyFont="1" applyFill="1" applyBorder="1" applyAlignment="1">
      <alignment horizontal="center"/>
    </xf>
    <xf numFmtId="0" fontId="5" fillId="0" borderId="10" xfId="0" applyFont="1" applyBorder="1" applyAlignment="1">
      <alignment vertical="top"/>
    </xf>
    <xf numFmtId="0" fontId="5" fillId="0" borderId="9" xfId="0" applyFont="1" applyBorder="1" applyAlignment="1">
      <alignment horizontal="left" vertical="center"/>
    </xf>
    <xf numFmtId="0" fontId="8" fillId="0" borderId="10" xfId="0" applyFont="1" applyBorder="1" applyAlignment="1">
      <alignment horizontal="center" wrapText="1"/>
    </xf>
    <xf numFmtId="49" fontId="8" fillId="5" borderId="6" xfId="0" applyNumberFormat="1" applyFont="1" applyFill="1" applyBorder="1" applyAlignment="1">
      <alignment horizontal="left" wrapText="1"/>
    </xf>
    <xf numFmtId="0" fontId="14" fillId="0" borderId="4" xfId="0" applyFont="1" applyBorder="1" applyAlignment="1">
      <alignment horizontal="center" vertical="center"/>
    </xf>
    <xf numFmtId="0" fontId="5" fillId="0" borderId="8" xfId="0" applyFont="1" applyBorder="1"/>
    <xf numFmtId="0" fontId="5" fillId="0" borderId="10" xfId="0" applyFont="1" applyBorder="1" applyAlignment="1">
      <alignment horizontal="left" vertical="center"/>
    </xf>
    <xf numFmtId="1" fontId="8" fillId="0" borderId="8" xfId="0" applyNumberFormat="1" applyFont="1" applyBorder="1" applyAlignment="1">
      <alignment horizontal="left" vertical="top" wrapText="1"/>
    </xf>
    <xf numFmtId="170" fontId="8" fillId="5" borderId="18" xfId="0" applyNumberFormat="1" applyFont="1" applyFill="1" applyBorder="1" applyAlignment="1">
      <alignment horizontal="left" vertical="center" wrapText="1"/>
    </xf>
    <xf numFmtId="0" fontId="15" fillId="0" borderId="10" xfId="0" applyFont="1" applyBorder="1" applyAlignment="1">
      <alignment horizontal="left"/>
    </xf>
    <xf numFmtId="0" fontId="16" fillId="0" borderId="4" xfId="0" applyFont="1" applyBorder="1" applyAlignment="1">
      <alignment horizontal="center" vertical="center"/>
    </xf>
    <xf numFmtId="0" fontId="5" fillId="0" borderId="7" xfId="0" applyFont="1" applyBorder="1" applyAlignment="1">
      <alignment horizontal="left" vertical="center"/>
    </xf>
    <xf numFmtId="165" fontId="8" fillId="5" borderId="4" xfId="0" applyNumberFormat="1" applyFont="1" applyFill="1" applyBorder="1" applyAlignment="1">
      <alignment horizontal="left" vertical="top" wrapText="1"/>
    </xf>
    <xf numFmtId="0" fontId="8" fillId="5" borderId="4" xfId="0" applyFont="1" applyFill="1" applyBorder="1" applyAlignment="1">
      <alignment horizontal="left" vertical="top" wrapText="1"/>
    </xf>
    <xf numFmtId="0" fontId="8" fillId="5" borderId="4" xfId="0" applyFont="1" applyFill="1" applyBorder="1" applyAlignment="1">
      <alignment horizontal="left" vertical="center"/>
    </xf>
    <xf numFmtId="0" fontId="8" fillId="5" borderId="15" xfId="0" applyFont="1" applyFill="1" applyBorder="1" applyAlignment="1">
      <alignment horizontal="left" vertical="top" wrapText="1"/>
    </xf>
    <xf numFmtId="0" fontId="8" fillId="5" borderId="16" xfId="0" applyFont="1" applyFill="1" applyBorder="1" applyAlignment="1">
      <alignment vertical="top" wrapText="1"/>
    </xf>
    <xf numFmtId="167" fontId="8" fillId="5" borderId="4" xfId="0" applyNumberFormat="1" applyFont="1" applyFill="1" applyBorder="1" applyAlignment="1">
      <alignment vertical="center" wrapText="1"/>
    </xf>
    <xf numFmtId="167" fontId="8" fillId="5" borderId="13" xfId="0" applyNumberFormat="1" applyFont="1" applyFill="1" applyBorder="1" applyAlignment="1">
      <alignment vertical="center" wrapText="1"/>
    </xf>
    <xf numFmtId="0" fontId="8" fillId="5" borderId="19" xfId="0" applyFont="1" applyFill="1" applyBorder="1" applyAlignment="1">
      <alignment vertical="top" wrapText="1"/>
    </xf>
    <xf numFmtId="0" fontId="8" fillId="5" borderId="12" xfId="0" applyFont="1" applyFill="1" applyBorder="1" applyAlignment="1">
      <alignment vertical="top"/>
    </xf>
    <xf numFmtId="0" fontId="8" fillId="5" borderId="12" xfId="0" applyFont="1" applyFill="1" applyBorder="1" applyAlignment="1">
      <alignment horizontal="left"/>
    </xf>
    <xf numFmtId="0" fontId="8" fillId="5" borderId="12" xfId="0" applyFont="1" applyFill="1" applyBorder="1" applyAlignment="1">
      <alignment horizontal="center" vertical="center"/>
    </xf>
    <xf numFmtId="0" fontId="8" fillId="5" borderId="12" xfId="0" applyFont="1" applyFill="1" applyBorder="1" applyAlignment="1">
      <alignment horizontal="center" vertical="center" wrapText="1"/>
    </xf>
    <xf numFmtId="168" fontId="8" fillId="5" borderId="4" xfId="0" applyNumberFormat="1" applyFont="1" applyFill="1" applyBorder="1" applyAlignment="1">
      <alignment horizontal="center" vertical="center" wrapText="1"/>
    </xf>
    <xf numFmtId="164" fontId="8" fillId="5" borderId="4" xfId="0" applyNumberFormat="1" applyFont="1" applyFill="1" applyBorder="1" applyAlignment="1">
      <alignment horizontal="center" vertical="center"/>
    </xf>
    <xf numFmtId="0" fontId="8" fillId="5" borderId="4" xfId="0" applyFont="1" applyFill="1" applyBorder="1" applyAlignment="1">
      <alignment horizontal="center" vertical="center" wrapText="1"/>
    </xf>
    <xf numFmtId="0" fontId="8" fillId="5" borderId="4" xfId="0" applyFont="1" applyFill="1" applyBorder="1" applyAlignment="1">
      <alignment wrapText="1"/>
    </xf>
    <xf numFmtId="0" fontId="8" fillId="5" borderId="11" xfId="0" applyFont="1" applyFill="1" applyBorder="1" applyAlignment="1">
      <alignment horizontal="left" vertical="top" wrapText="1"/>
    </xf>
    <xf numFmtId="0" fontId="8" fillId="5" borderId="4" xfId="0" applyFont="1" applyFill="1" applyBorder="1" applyAlignment="1">
      <alignment horizontal="left" vertical="center" wrapText="1"/>
    </xf>
    <xf numFmtId="0" fontId="8" fillId="5" borderId="12" xfId="0" applyFont="1" applyFill="1" applyBorder="1" applyAlignment="1">
      <alignment vertical="center" wrapText="1"/>
    </xf>
    <xf numFmtId="0" fontId="5" fillId="5" borderId="15" xfId="0" applyFont="1" applyFill="1" applyBorder="1" applyAlignment="1">
      <alignment horizontal="left" vertical="center"/>
    </xf>
    <xf numFmtId="0" fontId="8" fillId="5" borderId="13" xfId="0" applyFont="1" applyFill="1" applyBorder="1" applyAlignment="1">
      <alignment horizontal="center" vertical="center" wrapText="1"/>
    </xf>
    <xf numFmtId="1" fontId="8" fillId="5" borderId="13" xfId="0" applyNumberFormat="1" applyFont="1" applyFill="1" applyBorder="1" applyAlignment="1">
      <alignment horizontal="center" vertical="center"/>
    </xf>
    <xf numFmtId="0" fontId="8" fillId="5" borderId="12" xfId="0" applyFont="1" applyFill="1" applyBorder="1" applyAlignment="1">
      <alignment horizontal="center" wrapText="1"/>
    </xf>
    <xf numFmtId="3" fontId="5" fillId="5" borderId="4" xfId="0" applyNumberFormat="1" applyFont="1" applyFill="1" applyBorder="1" applyAlignment="1">
      <alignment horizontal="right" vertical="center"/>
    </xf>
    <xf numFmtId="169" fontId="11" fillId="5" borderId="4" xfId="0" applyNumberFormat="1" applyFont="1" applyFill="1" applyBorder="1" applyAlignment="1">
      <alignment horizontal="center" vertical="center"/>
    </xf>
    <xf numFmtId="167" fontId="8" fillId="5" borderId="4" xfId="0" applyNumberFormat="1" applyFont="1" applyFill="1" applyBorder="1" applyAlignment="1">
      <alignment horizontal="center" vertical="center"/>
    </xf>
    <xf numFmtId="167" fontId="8" fillId="5" borderId="4" xfId="0" applyNumberFormat="1" applyFont="1" applyFill="1" applyBorder="1" applyAlignment="1">
      <alignment horizontal="left" vertical="center"/>
    </xf>
    <xf numFmtId="0" fontId="17" fillId="5" borderId="4" xfId="0" applyFont="1" applyFill="1" applyBorder="1" applyAlignment="1">
      <alignment horizontal="center" vertical="center"/>
    </xf>
    <xf numFmtId="0" fontId="8" fillId="5" borderId="13" xfId="0" applyFont="1" applyFill="1" applyBorder="1" applyAlignment="1">
      <alignment horizontal="left" vertical="center" wrapText="1"/>
    </xf>
    <xf numFmtId="0" fontId="8" fillId="5" borderId="4" xfId="0" applyFont="1" applyFill="1" applyBorder="1" applyAlignment="1">
      <alignment horizontal="center"/>
    </xf>
    <xf numFmtId="49" fontId="5" fillId="0" borderId="9" xfId="0" applyNumberFormat="1" applyFont="1" applyBorder="1" applyAlignment="1">
      <alignment horizontal="center" vertical="center" wrapText="1"/>
    </xf>
    <xf numFmtId="0" fontId="8" fillId="5" borderId="13" xfId="0" applyFont="1" applyFill="1" applyBorder="1" applyAlignment="1">
      <alignment vertical="top" wrapText="1"/>
    </xf>
    <xf numFmtId="0" fontId="18" fillId="0" borderId="4" xfId="0" applyFont="1" applyBorder="1" applyAlignment="1">
      <alignment horizontal="left" vertical="top" wrapText="1"/>
    </xf>
    <xf numFmtId="0" fontId="9" fillId="0" borderId="4" xfId="0" applyFont="1" applyBorder="1" applyAlignment="1">
      <alignment horizontal="left" vertical="center" wrapText="1"/>
    </xf>
    <xf numFmtId="0" fontId="8" fillId="0" borderId="4" xfId="0" applyFont="1" applyBorder="1" applyAlignment="1">
      <alignment wrapText="1"/>
    </xf>
    <xf numFmtId="0" fontId="5" fillId="0" borderId="9" xfId="0" applyFont="1" applyBorder="1" applyAlignment="1">
      <alignment horizontal="left"/>
    </xf>
    <xf numFmtId="0" fontId="5" fillId="0" borderId="10" xfId="0" applyFont="1" applyBorder="1" applyAlignment="1">
      <alignment horizontal="center" wrapText="1"/>
    </xf>
    <xf numFmtId="0" fontId="5" fillId="0" borderId="0" xfId="0" applyFont="1" applyAlignment="1">
      <alignment vertical="top" wrapText="1"/>
    </xf>
    <xf numFmtId="0" fontId="1" fillId="0" borderId="4" xfId="0" applyFont="1" applyBorder="1" applyAlignment="1">
      <alignment horizontal="center" vertical="center"/>
    </xf>
    <xf numFmtId="0" fontId="5" fillId="0" borderId="8" xfId="0" applyFont="1" applyBorder="1" applyAlignment="1">
      <alignment vertical="center"/>
    </xf>
    <xf numFmtId="3" fontId="5" fillId="0" borderId="4" xfId="0" applyNumberFormat="1" applyFont="1" applyBorder="1" applyAlignment="1">
      <alignment horizontal="center" vertical="center" wrapText="1"/>
    </xf>
    <xf numFmtId="172" fontId="5" fillId="0" borderId="4" xfId="0" applyNumberFormat="1" applyFont="1" applyBorder="1" applyAlignment="1">
      <alignment wrapText="1"/>
    </xf>
    <xf numFmtId="172" fontId="5" fillId="0" borderId="4" xfId="0" applyNumberFormat="1" applyFont="1" applyBorder="1"/>
    <xf numFmtId="173" fontId="5" fillId="0" borderId="4" xfId="0" applyNumberFormat="1" applyFont="1" applyBorder="1" applyAlignment="1">
      <alignment horizontal="center" vertical="center"/>
    </xf>
    <xf numFmtId="173" fontId="5" fillId="0" borderId="4" xfId="0" applyNumberFormat="1" applyFont="1" applyBorder="1" applyAlignment="1">
      <alignment horizontal="left" vertical="center"/>
    </xf>
    <xf numFmtId="0" fontId="19" fillId="0" borderId="4" xfId="0" applyFont="1" applyBorder="1"/>
    <xf numFmtId="170" fontId="8" fillId="5" borderId="20" xfId="0" applyNumberFormat="1" applyFont="1" applyFill="1" applyBorder="1" applyAlignment="1">
      <alignment horizontal="left" vertical="center" wrapText="1"/>
    </xf>
    <xf numFmtId="0" fontId="8" fillId="5" borderId="10" xfId="0" applyFont="1" applyFill="1" applyBorder="1" applyAlignment="1">
      <alignment vertical="top" wrapText="1"/>
    </xf>
    <xf numFmtId="0" fontId="8" fillId="5" borderId="12" xfId="0" applyFont="1" applyFill="1" applyBorder="1" applyAlignment="1">
      <alignment horizontal="center"/>
    </xf>
    <xf numFmtId="0" fontId="8" fillId="5" borderId="15" xfId="0" applyFont="1" applyFill="1" applyBorder="1" applyAlignment="1">
      <alignment horizontal="left" vertical="center"/>
    </xf>
    <xf numFmtId="3" fontId="8" fillId="5" borderId="13" xfId="0" applyNumberFormat="1" applyFont="1" applyFill="1" applyBorder="1" applyAlignment="1">
      <alignment horizontal="center" vertical="center" wrapText="1"/>
    </xf>
    <xf numFmtId="49" fontId="8" fillId="5" borderId="13" xfId="0" applyNumberFormat="1" applyFont="1" applyFill="1" applyBorder="1" applyAlignment="1">
      <alignment horizontal="center" vertical="center" wrapText="1"/>
    </xf>
    <xf numFmtId="3" fontId="7" fillId="0" borderId="4" xfId="0" applyNumberFormat="1" applyFont="1" applyBorder="1" applyAlignment="1">
      <alignment horizontal="center" vertical="center"/>
    </xf>
    <xf numFmtId="0" fontId="8" fillId="5" borderId="6" xfId="0" applyFont="1" applyFill="1" applyBorder="1" applyAlignment="1">
      <alignment vertical="top" wrapText="1"/>
    </xf>
    <xf numFmtId="0" fontId="13" fillId="5" borderId="6" xfId="0" applyFont="1" applyFill="1" applyBorder="1" applyAlignment="1">
      <alignment horizontal="left" wrapText="1"/>
    </xf>
    <xf numFmtId="169" fontId="9" fillId="5" borderId="4" xfId="0" applyNumberFormat="1" applyFont="1" applyFill="1" applyBorder="1" applyAlignment="1">
      <alignment horizontal="center" vertical="center"/>
    </xf>
    <xf numFmtId="0" fontId="8" fillId="5" borderId="4" xfId="0" applyFont="1" applyFill="1" applyBorder="1" applyAlignment="1">
      <alignment horizontal="center"/>
    </xf>
    <xf numFmtId="0" fontId="5" fillId="0" borderId="10" xfId="0" applyFont="1" applyBorder="1" applyAlignment="1">
      <alignment wrapText="1"/>
    </xf>
    <xf numFmtId="0" fontId="5" fillId="0" borderId="9" xfId="0" applyFont="1" applyBorder="1" applyAlignment="1">
      <alignment vertical="center" wrapText="1"/>
    </xf>
    <xf numFmtId="0" fontId="5" fillId="0" borderId="4" xfId="0" applyFont="1" applyBorder="1" applyAlignment="1">
      <alignment vertical="center" wrapText="1"/>
    </xf>
    <xf numFmtId="0" fontId="5" fillId="0" borderId="0" xfId="0" applyFont="1" applyAlignment="1">
      <alignment horizontal="center" vertical="center"/>
    </xf>
    <xf numFmtId="0" fontId="8" fillId="0" borderId="8" xfId="0" applyFont="1" applyBorder="1" applyAlignment="1">
      <alignment vertical="top" wrapText="1"/>
    </xf>
    <xf numFmtId="0" fontId="8" fillId="5" borderId="21" xfId="0" applyFont="1" applyFill="1" applyBorder="1" applyAlignment="1">
      <alignment horizontal="center" vertical="top" wrapText="1"/>
    </xf>
    <xf numFmtId="49" fontId="8" fillId="5" borderId="12" xfId="0" applyNumberFormat="1" applyFont="1" applyFill="1" applyBorder="1" applyAlignment="1">
      <alignment horizontal="center" wrapText="1"/>
    </xf>
    <xf numFmtId="49" fontId="8" fillId="5" borderId="12" xfId="0" applyNumberFormat="1" applyFont="1" applyFill="1" applyBorder="1" applyAlignment="1">
      <alignment wrapText="1"/>
    </xf>
    <xf numFmtId="0" fontId="5" fillId="0" borderId="4" xfId="0" applyFont="1" applyBorder="1" applyAlignment="1">
      <alignment vertical="center"/>
    </xf>
    <xf numFmtId="0" fontId="8" fillId="0" borderId="17" xfId="0" applyFont="1" applyBorder="1" applyAlignment="1">
      <alignment vertical="top" wrapText="1"/>
    </xf>
    <xf numFmtId="0" fontId="8" fillId="0" borderId="8" xfId="0" applyFont="1" applyBorder="1" applyAlignment="1">
      <alignment horizontal="center" wrapText="1"/>
    </xf>
    <xf numFmtId="0" fontId="8" fillId="5" borderId="12" xfId="0" applyFont="1" applyFill="1" applyBorder="1" applyAlignment="1">
      <alignment wrapText="1"/>
    </xf>
    <xf numFmtId="167" fontId="5" fillId="0" borderId="8" xfId="0" applyNumberFormat="1" applyFont="1" applyBorder="1" applyAlignment="1">
      <alignment horizontal="center" vertical="center"/>
    </xf>
    <xf numFmtId="167" fontId="5" fillId="0" borderId="8" xfId="0" applyNumberFormat="1" applyFont="1" applyBorder="1" applyAlignment="1">
      <alignment horizontal="left" vertical="center"/>
    </xf>
    <xf numFmtId="0" fontId="20" fillId="0" borderId="4" xfId="0" applyFont="1" applyBorder="1" applyAlignment="1">
      <alignment horizontal="center" vertical="center"/>
    </xf>
    <xf numFmtId="0" fontId="8" fillId="0" borderId="9" xfId="0" applyFont="1" applyBorder="1" applyAlignment="1">
      <alignment horizontal="center" wrapText="1"/>
    </xf>
    <xf numFmtId="49" fontId="8" fillId="0" borderId="10" xfId="0" applyNumberFormat="1" applyFont="1" applyBorder="1" applyAlignment="1">
      <alignment horizontal="center" vertical="top" wrapText="1"/>
    </xf>
    <xf numFmtId="0" fontId="8" fillId="0" borderId="8" xfId="0" applyFont="1" applyBorder="1" applyAlignment="1">
      <alignment horizontal="left" vertical="top" wrapText="1"/>
    </xf>
    <xf numFmtId="174" fontId="5" fillId="0" borderId="4" xfId="0" applyNumberFormat="1" applyFont="1" applyBorder="1" applyAlignment="1">
      <alignment horizontal="center" vertical="center" wrapText="1"/>
    </xf>
    <xf numFmtId="0" fontId="21" fillId="0" borderId="4" xfId="0" applyFont="1" applyBorder="1" applyAlignment="1">
      <alignment horizontal="center" vertical="center"/>
    </xf>
    <xf numFmtId="0" fontId="5" fillId="5" borderId="13" xfId="0" applyFont="1" applyFill="1" applyBorder="1" applyAlignment="1">
      <alignment horizontal="left" vertical="center" wrapText="1"/>
    </xf>
    <xf numFmtId="167" fontId="5" fillId="5" borderId="13" xfId="0" applyNumberFormat="1" applyFont="1" applyFill="1" applyBorder="1" applyAlignment="1">
      <alignment vertical="center" wrapText="1"/>
    </xf>
    <xf numFmtId="0" fontId="11" fillId="5" borderId="12" xfId="0" applyFont="1" applyFill="1" applyBorder="1" applyAlignment="1">
      <alignment horizontal="left" vertical="top" wrapText="1"/>
    </xf>
    <xf numFmtId="0" fontId="11" fillId="5" borderId="12" xfId="0" applyFont="1" applyFill="1" applyBorder="1" applyAlignment="1">
      <alignment horizontal="left" vertical="center" wrapText="1"/>
    </xf>
    <xf numFmtId="0" fontId="5" fillId="5" borderId="12" xfId="0" applyFont="1" applyFill="1" applyBorder="1" applyAlignment="1">
      <alignment horizontal="center" vertical="center" wrapText="1"/>
    </xf>
    <xf numFmtId="49" fontId="5" fillId="5" borderId="6" xfId="0" applyNumberFormat="1" applyFont="1" applyFill="1" applyBorder="1" applyAlignment="1">
      <alignment horizontal="center" vertical="center" wrapText="1"/>
    </xf>
    <xf numFmtId="49" fontId="5" fillId="5" borderId="4" xfId="0" applyNumberFormat="1" applyFont="1" applyFill="1" applyBorder="1" applyAlignment="1">
      <alignment horizontal="center" vertical="top" wrapText="1"/>
    </xf>
    <xf numFmtId="49" fontId="8" fillId="5" borderId="4" xfId="0" applyNumberFormat="1" applyFont="1" applyFill="1" applyBorder="1" applyAlignment="1">
      <alignment horizontal="left" vertical="top" wrapText="1"/>
    </xf>
    <xf numFmtId="0" fontId="5" fillId="5" borderId="4" xfId="0" applyFont="1" applyFill="1" applyBorder="1" applyAlignment="1">
      <alignment vertical="center"/>
    </xf>
    <xf numFmtId="0" fontId="5" fillId="5" borderId="12" xfId="0" applyFont="1" applyFill="1" applyBorder="1"/>
    <xf numFmtId="0" fontId="11" fillId="0" borderId="10" xfId="0" applyFont="1" applyBorder="1" applyAlignment="1">
      <alignment horizontal="left" vertical="top" wrapText="1"/>
    </xf>
    <xf numFmtId="0" fontId="11" fillId="0" borderId="10" xfId="0" applyFont="1" applyBorder="1" applyAlignment="1">
      <alignment horizontal="left" vertical="center" wrapText="1"/>
    </xf>
    <xf numFmtId="49" fontId="5" fillId="0" borderId="0" xfId="0" applyNumberFormat="1" applyFont="1" applyAlignment="1">
      <alignment horizontal="center" vertical="center" wrapText="1"/>
    </xf>
    <xf numFmtId="0" fontId="5" fillId="6" borderId="4" xfId="0" applyFont="1" applyFill="1" applyBorder="1" applyAlignment="1">
      <alignment vertical="top" wrapText="1"/>
    </xf>
    <xf numFmtId="0" fontId="5" fillId="6" borderId="12" xfId="0" applyFont="1" applyFill="1" applyBorder="1" applyAlignment="1">
      <alignment vertical="top" wrapText="1"/>
    </xf>
    <xf numFmtId="0" fontId="5" fillId="0" borderId="10" xfId="0" applyFont="1" applyBorder="1"/>
    <xf numFmtId="0" fontId="9" fillId="0" borderId="4" xfId="0" applyFont="1" applyBorder="1" applyAlignment="1">
      <alignment horizontal="left" vertical="center"/>
    </xf>
    <xf numFmtId="49" fontId="5" fillId="5" borderId="13" xfId="0" applyNumberFormat="1" applyFont="1" applyFill="1" applyBorder="1" applyAlignment="1">
      <alignment horizontal="center" vertical="center" wrapText="1"/>
    </xf>
    <xf numFmtId="0" fontId="5" fillId="0" borderId="10" xfId="0" applyFont="1" applyBorder="1" applyAlignment="1">
      <alignment horizontal="center" vertical="top" wrapText="1"/>
    </xf>
    <xf numFmtId="49" fontId="5" fillId="0" borderId="10" xfId="0" applyNumberFormat="1" applyFont="1" applyBorder="1" applyAlignment="1">
      <alignment horizontal="center" wrapText="1"/>
    </xf>
    <xf numFmtId="49" fontId="5" fillId="5" borderId="12" xfId="0" applyNumberFormat="1" applyFont="1" applyFill="1" applyBorder="1" applyAlignment="1">
      <alignment vertical="top" wrapText="1"/>
    </xf>
    <xf numFmtId="0" fontId="5" fillId="5" borderId="22" xfId="0" applyFont="1" applyFill="1" applyBorder="1" applyAlignment="1">
      <alignment vertical="top" wrapText="1"/>
    </xf>
    <xf numFmtId="171" fontId="5" fillId="0" borderId="7" xfId="0" applyNumberFormat="1" applyFont="1" applyBorder="1" applyAlignment="1">
      <alignment horizontal="left" vertical="center"/>
    </xf>
    <xf numFmtId="0" fontId="5" fillId="0" borderId="9" xfId="0" applyFont="1" applyBorder="1"/>
    <xf numFmtId="0" fontId="8" fillId="5" borderId="12" xfId="0" applyFont="1" applyFill="1" applyBorder="1" applyAlignment="1">
      <alignment horizontal="left" vertical="center" wrapText="1"/>
    </xf>
    <xf numFmtId="0" fontId="8" fillId="0" borderId="4" xfId="0" applyFont="1" applyBorder="1" applyAlignment="1">
      <alignment vertical="center" wrapText="1"/>
    </xf>
    <xf numFmtId="0" fontId="8" fillId="5" borderId="6" xfId="0" applyFont="1" applyFill="1" applyBorder="1" applyAlignment="1">
      <alignment wrapText="1"/>
    </xf>
    <xf numFmtId="49" fontId="8" fillId="5" borderId="16" xfId="0" applyNumberFormat="1" applyFont="1" applyFill="1" applyBorder="1" applyAlignment="1">
      <alignment horizontal="left" vertical="top" wrapText="1"/>
    </xf>
    <xf numFmtId="170" fontId="8" fillId="5" borderId="23" xfId="0" applyNumberFormat="1" applyFont="1" applyFill="1" applyBorder="1" applyAlignment="1">
      <alignment horizontal="left" vertical="center" wrapText="1"/>
    </xf>
    <xf numFmtId="0" fontId="8" fillId="5" borderId="13" xfId="0" applyFont="1" applyFill="1" applyBorder="1" applyAlignment="1">
      <alignment horizontal="left"/>
    </xf>
    <xf numFmtId="49" fontId="5" fillId="0" borderId="9" xfId="0" applyNumberFormat="1" applyFont="1" applyBorder="1" applyAlignment="1">
      <alignment horizontal="center" vertical="top" wrapText="1"/>
    </xf>
    <xf numFmtId="0" fontId="9" fillId="0" borderId="4" xfId="0" applyFont="1" applyBorder="1" applyAlignment="1">
      <alignment horizontal="left" vertical="top" wrapText="1"/>
    </xf>
    <xf numFmtId="0" fontId="9" fillId="0" borderId="10" xfId="0" applyFont="1" applyBorder="1" applyAlignment="1">
      <alignment wrapText="1"/>
    </xf>
    <xf numFmtId="0" fontId="11" fillId="5" borderId="6" xfId="0" applyFont="1" applyFill="1" applyBorder="1" applyAlignment="1">
      <alignment vertical="center"/>
    </xf>
    <xf numFmtId="0" fontId="8" fillId="5" borderId="22" xfId="0" applyFont="1" applyFill="1" applyBorder="1" applyAlignment="1">
      <alignment vertical="top" wrapText="1"/>
    </xf>
    <xf numFmtId="0" fontId="5" fillId="7" borderId="16" xfId="0" applyFont="1" applyFill="1" applyBorder="1" applyAlignment="1">
      <alignment vertical="top" wrapText="1"/>
    </xf>
    <xf numFmtId="49" fontId="8" fillId="5" borderId="12" xfId="0" applyNumberFormat="1" applyFont="1" applyFill="1" applyBorder="1" applyAlignment="1">
      <alignment vertical="top" wrapText="1"/>
    </xf>
    <xf numFmtId="1" fontId="5" fillId="0" borderId="4" xfId="0" applyNumberFormat="1" applyFont="1" applyBorder="1" applyAlignment="1">
      <alignment horizontal="center" vertical="center"/>
    </xf>
    <xf numFmtId="0" fontId="1" fillId="0" borderId="7" xfId="0" applyFont="1" applyBorder="1" applyAlignment="1">
      <alignment horizontal="left" vertical="center" wrapText="1"/>
    </xf>
    <xf numFmtId="169" fontId="11" fillId="0" borderId="4" xfId="0" applyNumberFormat="1" applyFont="1" applyBorder="1" applyAlignment="1">
      <alignment horizontal="center" vertical="center"/>
    </xf>
    <xf numFmtId="0" fontId="22" fillId="5" borderId="4" xfId="0" applyFont="1" applyFill="1" applyBorder="1" applyAlignment="1">
      <alignment horizontal="center" vertical="center"/>
    </xf>
    <xf numFmtId="0" fontId="5" fillId="5" borderId="13" xfId="0" applyFont="1" applyFill="1" applyBorder="1" applyAlignment="1">
      <alignment horizontal="left"/>
    </xf>
    <xf numFmtId="0" fontId="5" fillId="5" borderId="13" xfId="0" applyFont="1" applyFill="1" applyBorder="1" applyAlignment="1">
      <alignment horizontal="center"/>
    </xf>
    <xf numFmtId="49" fontId="8" fillId="5" borderId="22" xfId="0" applyNumberFormat="1" applyFont="1" applyFill="1" applyBorder="1" applyAlignment="1">
      <alignment horizontal="left" vertical="top" wrapText="1"/>
    </xf>
    <xf numFmtId="0" fontId="8" fillId="3" borderId="4" xfId="0" applyFont="1" applyFill="1" applyBorder="1" applyAlignment="1">
      <alignment horizontal="left" wrapText="1"/>
    </xf>
    <xf numFmtId="0" fontId="8" fillId="3" borderId="10" xfId="0" applyFont="1" applyFill="1" applyBorder="1" applyAlignment="1">
      <alignment horizontal="center"/>
    </xf>
    <xf numFmtId="170" fontId="8" fillId="3" borderId="4" xfId="0" applyNumberFormat="1" applyFont="1" applyFill="1" applyBorder="1" applyAlignment="1">
      <alignment horizontal="center"/>
    </xf>
    <xf numFmtId="170" fontId="5" fillId="5" borderId="4" xfId="0" applyNumberFormat="1" applyFont="1" applyFill="1" applyBorder="1" applyAlignment="1">
      <alignment horizontal="left" wrapText="1"/>
    </xf>
    <xf numFmtId="170" fontId="5" fillId="5" borderId="15" xfId="0" applyNumberFormat="1" applyFont="1" applyFill="1" applyBorder="1" applyAlignment="1">
      <alignment horizontal="left" wrapText="1"/>
    </xf>
    <xf numFmtId="0" fontId="23" fillId="5" borderId="6" xfId="0" applyFont="1" applyFill="1" applyBorder="1"/>
    <xf numFmtId="175" fontId="5" fillId="0" borderId="4" xfId="0" applyNumberFormat="1" applyFont="1" applyBorder="1" applyAlignment="1">
      <alignment vertical="center"/>
    </xf>
    <xf numFmtId="0" fontId="5" fillId="0" borderId="4" xfId="0" applyFont="1" applyBorder="1" applyAlignment="1">
      <alignment horizontal="center" vertical="top" wrapText="1"/>
    </xf>
    <xf numFmtId="170" fontId="5" fillId="5" borderId="14" xfId="0" applyNumberFormat="1" applyFont="1" applyFill="1" applyBorder="1" applyAlignment="1">
      <alignment horizontal="left" wrapText="1"/>
    </xf>
    <xf numFmtId="0" fontId="11" fillId="5" borderId="4" xfId="0" applyFont="1" applyFill="1" applyBorder="1" applyAlignment="1">
      <alignment vertical="center"/>
    </xf>
    <xf numFmtId="175" fontId="5" fillId="0" borderId="4" xfId="0" applyNumberFormat="1" applyFont="1" applyBorder="1" applyAlignment="1">
      <alignment horizontal="right" vertical="center"/>
    </xf>
    <xf numFmtId="0" fontId="9" fillId="5" borderId="4" xfId="0" applyFont="1" applyFill="1" applyBorder="1" applyAlignment="1">
      <alignment horizontal="left" vertical="top" wrapText="1"/>
    </xf>
    <xf numFmtId="0" fontId="9" fillId="5" borderId="4" xfId="0" applyFont="1" applyFill="1" applyBorder="1" applyAlignment="1">
      <alignment horizontal="left" vertical="center" wrapText="1"/>
    </xf>
    <xf numFmtId="0" fontId="24" fillId="5" borderId="6" xfId="0" applyFont="1" applyFill="1" applyBorder="1" applyAlignment="1">
      <alignment horizontal="center" vertical="center"/>
    </xf>
    <xf numFmtId="0" fontId="8" fillId="0" borderId="4" xfId="0" applyFont="1" applyBorder="1" applyAlignment="1">
      <alignment horizontal="left" vertical="center" wrapText="1"/>
    </xf>
    <xf numFmtId="3" fontId="5" fillId="5" borderId="4" xfId="0" applyNumberFormat="1" applyFont="1" applyFill="1" applyBorder="1" applyAlignment="1">
      <alignment horizontal="center" vertical="center" wrapText="1"/>
    </xf>
    <xf numFmtId="0" fontId="8" fillId="6" borderId="4" xfId="0" applyFont="1" applyFill="1" applyBorder="1" applyAlignment="1">
      <alignment vertical="top" wrapText="1"/>
    </xf>
    <xf numFmtId="0" fontId="8" fillId="5" borderId="4" xfId="0" applyFont="1" applyFill="1" applyBorder="1" applyAlignment="1">
      <alignment horizontal="center" vertical="top" wrapText="1"/>
    </xf>
    <xf numFmtId="171" fontId="8" fillId="0" borderId="4" xfId="0" applyNumberFormat="1" applyFont="1" applyBorder="1" applyAlignment="1">
      <alignment horizontal="left" vertical="center"/>
    </xf>
    <xf numFmtId="171" fontId="8" fillId="0" borderId="7" xfId="0" applyNumberFormat="1" applyFont="1" applyBorder="1" applyAlignment="1">
      <alignment horizontal="left" vertical="center"/>
    </xf>
    <xf numFmtId="165" fontId="8" fillId="0" borderId="4" xfId="0" applyNumberFormat="1" applyFont="1" applyBorder="1" applyAlignment="1">
      <alignment horizontal="left" vertical="top" wrapText="1"/>
    </xf>
    <xf numFmtId="0" fontId="8" fillId="0" borderId="4" xfId="0" applyFont="1" applyBorder="1" applyAlignment="1">
      <alignment horizontal="left" vertical="top" wrapText="1"/>
    </xf>
    <xf numFmtId="0" fontId="8" fillId="0" borderId="4" xfId="0" applyFont="1" applyBorder="1" applyAlignment="1">
      <alignment horizontal="left" vertical="center"/>
    </xf>
    <xf numFmtId="0" fontId="8" fillId="0" borderId="7" xfId="0" applyFont="1" applyBorder="1" applyAlignment="1">
      <alignment horizontal="left" vertical="top" wrapText="1"/>
    </xf>
    <xf numFmtId="167" fontId="8" fillId="0" borderId="4" xfId="0" applyNumberFormat="1" applyFont="1" applyBorder="1" applyAlignment="1">
      <alignment vertical="center" wrapText="1"/>
    </xf>
    <xf numFmtId="0" fontId="8" fillId="0" borderId="10" xfId="0" applyFont="1" applyBorder="1" applyAlignment="1">
      <alignment wrapText="1"/>
    </xf>
    <xf numFmtId="0" fontId="8" fillId="0" borderId="4" xfId="0" applyFont="1" applyBorder="1" applyAlignment="1">
      <alignment horizontal="center" vertical="center" wrapText="1"/>
    </xf>
    <xf numFmtId="0" fontId="25" fillId="0" borderId="10" xfId="0" applyFont="1" applyBorder="1" applyAlignment="1">
      <alignment horizontal="center" vertical="center"/>
    </xf>
    <xf numFmtId="0" fontId="8" fillId="0" borderId="7" xfId="0" applyFont="1" applyBorder="1" applyAlignment="1">
      <alignment horizontal="left" vertical="center"/>
    </xf>
    <xf numFmtId="0" fontId="8" fillId="0" borderId="9" xfId="0" applyFont="1" applyBorder="1" applyAlignment="1">
      <alignment horizontal="center" vertical="center" wrapText="1"/>
    </xf>
    <xf numFmtId="3" fontId="25" fillId="0" borderId="9" xfId="0" applyNumberFormat="1" applyFont="1" applyBorder="1" applyAlignment="1">
      <alignment horizontal="center" vertical="center" wrapText="1"/>
    </xf>
    <xf numFmtId="0" fontId="25" fillId="0" borderId="4" xfId="0" applyFont="1" applyBorder="1" applyAlignment="1">
      <alignment horizontal="center" vertical="center"/>
    </xf>
    <xf numFmtId="166" fontId="25" fillId="0" borderId="4" xfId="0" applyNumberFormat="1" applyFont="1" applyBorder="1" applyAlignment="1">
      <alignment horizontal="center" vertical="center"/>
    </xf>
    <xf numFmtId="167" fontId="25" fillId="0" borderId="4" xfId="0" applyNumberFormat="1" applyFont="1" applyBorder="1" applyAlignment="1">
      <alignment horizontal="center" vertical="center"/>
    </xf>
    <xf numFmtId="171" fontId="8" fillId="0" borderId="24" xfId="0" applyNumberFormat="1" applyFont="1" applyBorder="1" applyAlignment="1">
      <alignment horizontal="left" vertical="center"/>
    </xf>
    <xf numFmtId="0" fontId="25" fillId="0" borderId="10" xfId="0" applyFont="1" applyBorder="1" applyAlignment="1">
      <alignment horizontal="left"/>
    </xf>
    <xf numFmtId="0" fontId="25" fillId="0" borderId="10" xfId="0" applyFont="1" applyBorder="1" applyAlignment="1">
      <alignment horizontal="center"/>
    </xf>
    <xf numFmtId="0" fontId="25" fillId="0" borderId="4" xfId="0" applyFont="1" applyBorder="1" applyAlignment="1">
      <alignment horizontal="center"/>
    </xf>
    <xf numFmtId="170" fontId="5" fillId="5" borderId="23" xfId="0" applyNumberFormat="1" applyFont="1" applyFill="1" applyBorder="1" applyAlignment="1">
      <alignment horizontal="left" vertical="center" wrapText="1"/>
    </xf>
    <xf numFmtId="170" fontId="5" fillId="5" borderId="14" xfId="0" applyNumberFormat="1" applyFont="1" applyFill="1" applyBorder="1" applyAlignment="1">
      <alignment horizontal="left" vertical="center" wrapText="1"/>
    </xf>
    <xf numFmtId="0" fontId="8" fillId="5" borderId="12" xfId="0" applyFont="1" applyFill="1" applyBorder="1"/>
    <xf numFmtId="0" fontId="8" fillId="5" borderId="12" xfId="0" applyFont="1" applyFill="1" applyBorder="1" applyAlignment="1">
      <alignment vertical="center"/>
    </xf>
    <xf numFmtId="3" fontId="8" fillId="5" borderId="4" xfId="0" applyNumberFormat="1" applyFont="1" applyFill="1" applyBorder="1" applyAlignment="1">
      <alignment horizontal="center" vertical="center" wrapText="1"/>
    </xf>
    <xf numFmtId="0" fontId="8" fillId="5" borderId="13" xfId="0" applyFont="1" applyFill="1" applyBorder="1" applyAlignment="1">
      <alignment horizontal="center" vertical="center"/>
    </xf>
    <xf numFmtId="0" fontId="8" fillId="0" borderId="4" xfId="0" applyFont="1" applyBorder="1"/>
    <xf numFmtId="0" fontId="8" fillId="5" borderId="4" xfId="0" applyFont="1" applyFill="1" applyBorder="1"/>
    <xf numFmtId="0" fontId="8" fillId="5" borderId="15" xfId="0" applyFont="1" applyFill="1" applyBorder="1" applyAlignment="1">
      <alignment horizontal="left" vertical="center" wrapText="1"/>
    </xf>
    <xf numFmtId="0" fontId="5" fillId="6" borderId="4" xfId="0" applyFont="1" applyFill="1" applyBorder="1" applyAlignment="1">
      <alignment horizontal="center" vertical="top" wrapText="1"/>
    </xf>
    <xf numFmtId="0" fontId="13" fillId="5" borderId="4" xfId="0" applyFont="1" applyFill="1" applyBorder="1"/>
    <xf numFmtId="0" fontId="8" fillId="5" borderId="4" xfId="0" applyFont="1" applyFill="1" applyBorder="1" applyAlignment="1">
      <alignment horizontal="left"/>
    </xf>
    <xf numFmtId="170" fontId="5" fillId="5" borderId="20" xfId="0" applyNumberFormat="1" applyFont="1" applyFill="1" applyBorder="1" applyAlignment="1">
      <alignment horizontal="left" vertical="center" wrapText="1"/>
    </xf>
    <xf numFmtId="0" fontId="8" fillId="5" borderId="4" xfId="0" applyFont="1" applyFill="1" applyBorder="1" applyAlignment="1">
      <alignment vertical="center"/>
    </xf>
    <xf numFmtId="166" fontId="8" fillId="0" borderId="4" xfId="0" applyNumberFormat="1" applyFont="1" applyBorder="1" applyAlignment="1">
      <alignment horizontal="center" vertical="center"/>
    </xf>
    <xf numFmtId="0" fontId="26" fillId="5" borderId="4" xfId="0" applyFont="1" applyFill="1" applyBorder="1"/>
    <xf numFmtId="165" fontId="8" fillId="0" borderId="4" xfId="0" applyNumberFormat="1" applyFont="1" applyBorder="1" applyAlignment="1">
      <alignment vertical="center" wrapText="1"/>
    </xf>
    <xf numFmtId="0" fontId="8" fillId="0" borderId="7" xfId="0" applyFont="1" applyBorder="1" applyAlignment="1">
      <alignment vertical="center" wrapText="1"/>
    </xf>
    <xf numFmtId="0" fontId="8" fillId="5" borderId="16" xfId="0" applyFont="1" applyFill="1" applyBorder="1" applyAlignment="1">
      <alignment vertical="center" wrapText="1"/>
    </xf>
    <xf numFmtId="0" fontId="8" fillId="0" borderId="10" xfId="0" applyFont="1" applyBorder="1" applyAlignment="1">
      <alignment vertical="center" wrapText="1"/>
    </xf>
    <xf numFmtId="0" fontId="8" fillId="0" borderId="10" xfId="0" applyFont="1" applyBorder="1" applyAlignment="1">
      <alignment vertical="center"/>
    </xf>
    <xf numFmtId="0" fontId="12" fillId="0" borderId="10" xfId="0" applyFont="1" applyBorder="1" applyAlignment="1">
      <alignment vertical="center"/>
    </xf>
    <xf numFmtId="0" fontId="8" fillId="0" borderId="10" xfId="0" applyFont="1" applyBorder="1" applyAlignment="1">
      <alignment horizontal="center" vertical="center" wrapText="1"/>
    </xf>
    <xf numFmtId="0" fontId="5" fillId="5" borderId="11" xfId="0" applyFont="1" applyFill="1" applyBorder="1" applyAlignment="1">
      <alignment horizontal="left" vertical="center" wrapText="1"/>
    </xf>
    <xf numFmtId="0" fontId="8" fillId="0" borderId="7" xfId="0" applyFont="1" applyBorder="1" applyAlignment="1">
      <alignment vertical="center"/>
    </xf>
    <xf numFmtId="0" fontId="12" fillId="0" borderId="4" xfId="0" applyFont="1" applyBorder="1" applyAlignment="1">
      <alignment vertical="center"/>
    </xf>
    <xf numFmtId="3" fontId="8" fillId="0" borderId="9" xfId="0" applyNumberFormat="1" applyFont="1" applyBorder="1" applyAlignment="1">
      <alignment horizontal="center" vertical="center" wrapText="1"/>
    </xf>
    <xf numFmtId="3" fontId="12" fillId="0" borderId="9" xfId="0" applyNumberFormat="1" applyFont="1" applyBorder="1" applyAlignment="1">
      <alignment vertical="center"/>
    </xf>
    <xf numFmtId="49" fontId="8" fillId="0" borderId="4" xfId="0" applyNumberFormat="1" applyFont="1" applyBorder="1" applyAlignment="1">
      <alignment horizontal="center" vertical="center" wrapText="1"/>
    </xf>
    <xf numFmtId="49" fontId="8" fillId="5" borderId="4" xfId="0" applyNumberFormat="1" applyFont="1" applyFill="1" applyBorder="1" applyAlignment="1">
      <alignment vertical="center" wrapText="1"/>
    </xf>
    <xf numFmtId="166" fontId="12" fillId="0" borderId="4" xfId="0" applyNumberFormat="1" applyFont="1" applyBorder="1" applyAlignment="1">
      <alignment vertical="center"/>
    </xf>
    <xf numFmtId="167" fontId="12" fillId="0" borderId="4" xfId="0" applyNumberFormat="1" applyFont="1" applyBorder="1" applyAlignment="1">
      <alignment vertical="center"/>
    </xf>
    <xf numFmtId="0" fontId="27" fillId="0" borderId="4" xfId="0" applyFont="1" applyBorder="1" applyAlignment="1">
      <alignment horizontal="center" vertical="center"/>
    </xf>
    <xf numFmtId="0" fontId="8" fillId="0" borderId="10" xfId="0" applyFont="1" applyBorder="1" applyAlignment="1">
      <alignment horizontal="center" vertical="center"/>
    </xf>
    <xf numFmtId="165" fontId="8" fillId="0" borderId="4" xfId="0" applyNumberFormat="1"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vertical="center" wrapText="1"/>
    </xf>
    <xf numFmtId="0" fontId="8" fillId="0" borderId="9" xfId="0" applyFont="1" applyBorder="1" applyAlignment="1">
      <alignment horizontal="center" vertical="center"/>
    </xf>
    <xf numFmtId="49" fontId="8" fillId="5" borderId="4" xfId="0" applyNumberFormat="1" applyFont="1" applyFill="1" applyBorder="1" applyAlignment="1">
      <alignment horizontal="left" vertical="center" wrapText="1"/>
    </xf>
    <xf numFmtId="0" fontId="8" fillId="0" borderId="4" xfId="0" applyFont="1" applyBorder="1" applyAlignment="1">
      <alignment vertical="center"/>
    </xf>
    <xf numFmtId="167" fontId="8" fillId="0" borderId="4" xfId="0" applyNumberFormat="1" applyFont="1" applyBorder="1" applyAlignment="1">
      <alignment horizontal="center" vertical="center"/>
    </xf>
    <xf numFmtId="0" fontId="8" fillId="0" borderId="10" xfId="0" applyFont="1" applyBorder="1" applyAlignment="1">
      <alignment horizontal="left" vertical="center"/>
    </xf>
    <xf numFmtId="0" fontId="8" fillId="5" borderId="11" xfId="0" applyFont="1" applyFill="1" applyBorder="1" applyAlignment="1">
      <alignment horizontal="left" vertical="center" wrapText="1"/>
    </xf>
    <xf numFmtId="0" fontId="8" fillId="5" borderId="13" xfId="0" applyFont="1" applyFill="1" applyBorder="1" applyAlignment="1">
      <alignment horizontal="left" vertical="center"/>
    </xf>
    <xf numFmtId="0" fontId="8" fillId="5" borderId="13" xfId="0" applyFont="1" applyFill="1" applyBorder="1" applyAlignment="1">
      <alignment vertical="center"/>
    </xf>
    <xf numFmtId="0" fontId="8" fillId="0" borderId="25" xfId="0" applyFont="1" applyBorder="1" applyAlignment="1">
      <alignment horizontal="left" vertical="center"/>
    </xf>
    <xf numFmtId="0" fontId="8" fillId="5" borderId="13" xfId="0" applyFont="1" applyFill="1" applyBorder="1" applyAlignment="1">
      <alignment horizontal="left" wrapText="1"/>
    </xf>
    <xf numFmtId="0" fontId="25" fillId="0" borderId="4" xfId="0" applyFont="1" applyBorder="1" applyAlignment="1">
      <alignment wrapText="1"/>
    </xf>
    <xf numFmtId="0" fontId="8" fillId="0" borderId="9" xfId="0" applyFont="1" applyBorder="1" applyAlignment="1">
      <alignment horizontal="left" vertical="center"/>
    </xf>
    <xf numFmtId="0" fontId="8" fillId="6" borderId="12" xfId="0" applyFont="1" applyFill="1" applyBorder="1" applyAlignment="1">
      <alignment vertical="center" wrapText="1"/>
    </xf>
    <xf numFmtId="0" fontId="13" fillId="0" borderId="4" xfId="0" applyFont="1" applyBorder="1" applyAlignment="1">
      <alignment vertical="top" wrapText="1"/>
    </xf>
    <xf numFmtId="0" fontId="8" fillId="6" borderId="4" xfId="0" applyFont="1" applyFill="1" applyBorder="1" applyAlignment="1">
      <alignment horizontal="center" vertical="top" wrapText="1"/>
    </xf>
    <xf numFmtId="171" fontId="5" fillId="0" borderId="25" xfId="0" applyNumberFormat="1" applyFont="1" applyBorder="1" applyAlignment="1">
      <alignment horizontal="left" vertical="center"/>
    </xf>
    <xf numFmtId="0" fontId="5" fillId="6" borderId="12" xfId="0" applyFont="1" applyFill="1" applyBorder="1" applyAlignment="1">
      <alignment horizontal="center" vertical="center"/>
    </xf>
    <xf numFmtId="0" fontId="5" fillId="0" borderId="4" xfId="0" applyFont="1" applyBorder="1" applyAlignment="1">
      <alignment horizontal="left"/>
    </xf>
    <xf numFmtId="165" fontId="8" fillId="5" borderId="4" xfId="0" applyNumberFormat="1" applyFont="1" applyFill="1" applyBorder="1" applyAlignment="1">
      <alignment horizontal="left" vertical="center" wrapText="1"/>
    </xf>
    <xf numFmtId="0" fontId="8" fillId="5" borderId="13" xfId="0" applyFont="1" applyFill="1" applyBorder="1" applyAlignment="1">
      <alignment vertical="center" wrapText="1"/>
    </xf>
    <xf numFmtId="0" fontId="8" fillId="5" borderId="11" xfId="0" applyFont="1" applyFill="1" applyBorder="1" applyAlignment="1">
      <alignment horizontal="left" vertical="center"/>
    </xf>
    <xf numFmtId="0" fontId="24" fillId="0" borderId="4" xfId="0" applyFont="1" applyBorder="1"/>
    <xf numFmtId="0" fontId="8" fillId="5" borderId="13" xfId="0" applyFont="1" applyFill="1" applyBorder="1" applyAlignment="1">
      <alignment wrapText="1"/>
    </xf>
    <xf numFmtId="0" fontId="8" fillId="5" borderId="9" xfId="0" applyFont="1" applyFill="1" applyBorder="1" applyAlignment="1">
      <alignment horizontal="center" vertical="center"/>
    </xf>
    <xf numFmtId="0" fontId="8" fillId="5" borderId="9" xfId="0" applyFont="1" applyFill="1" applyBorder="1" applyAlignment="1">
      <alignment horizontal="left" vertical="center"/>
    </xf>
    <xf numFmtId="169" fontId="8" fillId="5" borderId="4" xfId="0" applyNumberFormat="1" applyFont="1" applyFill="1" applyBorder="1" applyAlignment="1">
      <alignment horizontal="center" vertical="center"/>
    </xf>
    <xf numFmtId="0" fontId="5" fillId="5" borderId="12" xfId="0" applyFont="1" applyFill="1" applyBorder="1" applyAlignment="1">
      <alignment wrapText="1"/>
    </xf>
    <xf numFmtId="171" fontId="5" fillId="5" borderId="4" xfId="0" applyNumberFormat="1" applyFont="1" applyFill="1" applyBorder="1" applyAlignment="1">
      <alignment horizontal="left" vertical="center"/>
    </xf>
    <xf numFmtId="171" fontId="5" fillId="5" borderId="23" xfId="0" applyNumberFormat="1" applyFont="1" applyFill="1" applyBorder="1" applyAlignment="1">
      <alignment horizontal="left" vertical="center"/>
    </xf>
    <xf numFmtId="0" fontId="24" fillId="5" borderId="6" xfId="0" applyFont="1" applyFill="1" applyBorder="1"/>
    <xf numFmtId="0" fontId="5" fillId="5" borderId="10" xfId="0" applyFont="1" applyFill="1" applyBorder="1" applyAlignment="1">
      <alignment vertical="top"/>
    </xf>
    <xf numFmtId="0" fontId="5" fillId="5" borderId="12" xfId="0" applyFont="1" applyFill="1" applyBorder="1" applyAlignment="1">
      <alignment vertical="top"/>
    </xf>
    <xf numFmtId="0" fontId="5" fillId="5" borderId="12" xfId="0" applyFont="1" applyFill="1" applyBorder="1" applyAlignment="1">
      <alignment horizontal="left" vertical="center"/>
    </xf>
    <xf numFmtId="0" fontId="5" fillId="0" borderId="4" xfId="0" applyFont="1" applyBorder="1" applyAlignment="1">
      <alignment wrapText="1"/>
    </xf>
    <xf numFmtId="0" fontId="24" fillId="5" borderId="4" xfId="0" applyFont="1" applyFill="1" applyBorder="1"/>
    <xf numFmtId="0" fontId="12" fillId="0" borderId="4" xfId="0" applyFont="1" applyBorder="1"/>
    <xf numFmtId="0" fontId="12" fillId="5" borderId="4" xfId="0" applyFont="1" applyFill="1" applyBorder="1" applyAlignment="1">
      <alignment wrapText="1"/>
    </xf>
    <xf numFmtId="0" fontId="24" fillId="5" borderId="4" xfId="0" applyFont="1" applyFill="1" applyBorder="1" applyAlignment="1">
      <alignment wrapText="1"/>
    </xf>
    <xf numFmtId="0" fontId="24" fillId="5" borderId="4" xfId="0" applyFont="1" applyFill="1" applyBorder="1" applyAlignment="1">
      <alignment vertical="center" wrapText="1"/>
    </xf>
    <xf numFmtId="176" fontId="8" fillId="0" borderId="4" xfId="0" applyNumberFormat="1" applyFont="1" applyBorder="1" applyAlignment="1">
      <alignment horizontal="center"/>
    </xf>
    <xf numFmtId="165" fontId="8" fillId="5" borderId="4" xfId="0" applyNumberFormat="1" applyFont="1" applyFill="1" applyBorder="1" applyAlignment="1">
      <alignment horizontal="center"/>
    </xf>
    <xf numFmtId="0" fontId="12" fillId="5" borderId="4" xfId="0" applyFont="1" applyFill="1" applyBorder="1" applyAlignment="1">
      <alignment horizontal="left"/>
    </xf>
    <xf numFmtId="0" fontId="12" fillId="5" borderId="15" xfId="0" applyFont="1" applyFill="1" applyBorder="1" applyAlignment="1">
      <alignment horizontal="left"/>
    </xf>
    <xf numFmtId="0" fontId="24" fillId="5" borderId="4" xfId="0" applyFont="1" applyFill="1" applyBorder="1" applyAlignment="1">
      <alignment horizontal="center" vertical="center"/>
    </xf>
    <xf numFmtId="0" fontId="24" fillId="5" borderId="13" xfId="0" applyFont="1" applyFill="1" applyBorder="1"/>
    <xf numFmtId="0" fontId="9" fillId="5" borderId="12" xfId="0" applyFont="1" applyFill="1" applyBorder="1" applyAlignment="1">
      <alignment wrapText="1"/>
    </xf>
    <xf numFmtId="3" fontId="8" fillId="0" borderId="4" xfId="0" applyNumberFormat="1" applyFont="1" applyBorder="1" applyAlignment="1">
      <alignment vertical="center" wrapText="1"/>
    </xf>
    <xf numFmtId="0" fontId="28" fillId="0" borderId="10" xfId="0" applyFont="1" applyBorder="1" applyAlignment="1">
      <alignment vertical="top" wrapText="1"/>
    </xf>
    <xf numFmtId="175" fontId="5" fillId="5" borderId="4" xfId="0" applyNumberFormat="1" applyFont="1" applyFill="1" applyBorder="1" applyAlignment="1">
      <alignment horizontal="right" vertical="center"/>
    </xf>
    <xf numFmtId="0" fontId="29" fillId="5" borderId="4" xfId="0" applyFont="1" applyFill="1" applyBorder="1" applyAlignment="1">
      <alignment horizontal="center" vertical="center"/>
    </xf>
    <xf numFmtId="0" fontId="11" fillId="5" borderId="12" xfId="0" applyFont="1" applyFill="1" applyBorder="1" applyAlignment="1">
      <alignment vertical="center" wrapText="1"/>
    </xf>
    <xf numFmtId="0" fontId="30" fillId="5" borderId="4" xfId="0" applyFont="1" applyFill="1" applyBorder="1" applyAlignment="1">
      <alignment vertical="center"/>
    </xf>
    <xf numFmtId="0" fontId="25" fillId="5" borderId="4" xfId="0" applyFont="1" applyFill="1" applyBorder="1" applyAlignment="1">
      <alignment horizontal="center" vertical="center" wrapText="1"/>
    </xf>
    <xf numFmtId="0" fontId="5" fillId="5" borderId="10" xfId="0" applyFont="1" applyFill="1" applyBorder="1" applyAlignment="1">
      <alignment vertical="center" wrapText="1"/>
    </xf>
    <xf numFmtId="0" fontId="24" fillId="5" borderId="4" xfId="0" applyFont="1" applyFill="1" applyBorder="1" applyAlignment="1">
      <alignment vertical="center"/>
    </xf>
    <xf numFmtId="0" fontId="31" fillId="0" borderId="4" xfId="0" applyFont="1" applyBorder="1" applyAlignment="1">
      <alignment horizontal="center" vertical="center" wrapText="1"/>
    </xf>
    <xf numFmtId="0" fontId="12" fillId="5" borderId="4" xfId="0" applyFont="1" applyFill="1" applyBorder="1" applyAlignment="1">
      <alignment horizontal="left" vertical="center"/>
    </xf>
    <xf numFmtId="0" fontId="12" fillId="5" borderId="15" xfId="0" applyFont="1" applyFill="1" applyBorder="1" applyAlignment="1">
      <alignment horizontal="left" vertical="center"/>
    </xf>
    <xf numFmtId="0" fontId="24" fillId="5" borderId="13" xfId="0" applyFont="1" applyFill="1" applyBorder="1" applyAlignment="1">
      <alignment vertical="center"/>
    </xf>
    <xf numFmtId="0" fontId="5" fillId="5" borderId="10" xfId="0" applyFont="1" applyFill="1" applyBorder="1" applyAlignment="1">
      <alignment vertical="center"/>
    </xf>
    <xf numFmtId="3" fontId="8" fillId="0" borderId="4" xfId="0" applyNumberFormat="1" applyFont="1" applyBorder="1" applyAlignment="1">
      <alignment horizontal="center" vertical="center" wrapText="1"/>
    </xf>
    <xf numFmtId="49" fontId="8" fillId="5" borderId="4" xfId="0" applyNumberFormat="1" applyFont="1" applyFill="1" applyBorder="1" applyAlignment="1">
      <alignment horizontal="center" vertical="top" wrapText="1"/>
    </xf>
    <xf numFmtId="0" fontId="8" fillId="5" borderId="15" xfId="0" applyFont="1" applyFill="1" applyBorder="1" applyAlignment="1">
      <alignment horizontal="center" vertical="center" wrapText="1"/>
    </xf>
    <xf numFmtId="170" fontId="8" fillId="5" borderId="13" xfId="0" applyNumberFormat="1" applyFont="1" applyFill="1" applyBorder="1" applyAlignment="1">
      <alignment horizontal="left" wrapText="1"/>
    </xf>
    <xf numFmtId="0" fontId="8" fillId="5" borderId="13" xfId="0" applyFont="1" applyFill="1" applyBorder="1" applyAlignment="1">
      <alignment horizontal="center"/>
    </xf>
    <xf numFmtId="0" fontId="8" fillId="5" borderId="11" xfId="0" applyFont="1" applyFill="1" applyBorder="1" applyAlignment="1">
      <alignment horizontal="center" vertical="center"/>
    </xf>
    <xf numFmtId="0" fontId="6" fillId="5" borderId="4" xfId="0" applyFont="1" applyFill="1" applyBorder="1" applyAlignment="1">
      <alignment vertical="center" wrapText="1"/>
    </xf>
    <xf numFmtId="0" fontId="32" fillId="0" borderId="4" xfId="0" applyFont="1" applyBorder="1" applyAlignment="1">
      <alignment horizontal="center" vertical="center"/>
    </xf>
    <xf numFmtId="0" fontId="12" fillId="5" borderId="4" xfId="0" applyFont="1" applyFill="1" applyBorder="1" applyAlignment="1">
      <alignment vertical="center"/>
    </xf>
    <xf numFmtId="0" fontId="12" fillId="5" borderId="13" xfId="0" applyFont="1" applyFill="1" applyBorder="1" applyAlignment="1">
      <alignment horizontal="left" vertical="center"/>
    </xf>
    <xf numFmtId="0" fontId="33" fillId="0" borderId="4" xfId="0" applyFont="1" applyBorder="1" applyAlignment="1">
      <alignment horizontal="center" vertical="center" wrapText="1"/>
    </xf>
    <xf numFmtId="0" fontId="33" fillId="0" borderId="0" xfId="0" applyFont="1" applyAlignment="1">
      <alignment horizontal="center" vertical="center"/>
    </xf>
    <xf numFmtId="49" fontId="8" fillId="0" borderId="9" xfId="0" applyNumberFormat="1" applyFont="1" applyBorder="1" applyAlignment="1">
      <alignment horizontal="center" vertical="top" wrapText="1"/>
    </xf>
    <xf numFmtId="0" fontId="23" fillId="5" borderId="4" xfId="0" applyFont="1" applyFill="1" applyBorder="1" applyAlignment="1">
      <alignment wrapText="1"/>
    </xf>
    <xf numFmtId="0" fontId="25" fillId="5" borderId="4" xfId="0" applyFont="1" applyFill="1" applyBorder="1" applyAlignment="1">
      <alignment horizontal="center" vertical="center"/>
    </xf>
    <xf numFmtId="166" fontId="25" fillId="5" borderId="4" xfId="0" applyNumberFormat="1" applyFont="1" applyFill="1" applyBorder="1" applyAlignment="1">
      <alignment horizontal="center" vertical="center"/>
    </xf>
    <xf numFmtId="0" fontId="25" fillId="5" borderId="4" xfId="0" applyFont="1" applyFill="1" applyBorder="1" applyAlignment="1">
      <alignment horizontal="left" vertical="center"/>
    </xf>
    <xf numFmtId="0" fontId="5" fillId="5" borderId="4" xfId="0" applyFont="1" applyFill="1" applyBorder="1" applyAlignment="1">
      <alignment horizontal="center" wrapText="1"/>
    </xf>
    <xf numFmtId="0" fontId="5" fillId="5" borderId="4" xfId="0" applyFont="1" applyFill="1" applyBorder="1" applyAlignment="1">
      <alignment wrapText="1"/>
    </xf>
    <xf numFmtId="170" fontId="34" fillId="5" borderId="4" xfId="0" applyNumberFormat="1" applyFont="1" applyFill="1" applyBorder="1" applyAlignment="1">
      <alignment horizontal="left" vertical="center" wrapText="1"/>
    </xf>
    <xf numFmtId="170" fontId="35" fillId="5" borderId="14" xfId="0" applyNumberFormat="1" applyFont="1" applyFill="1" applyBorder="1" applyAlignment="1">
      <alignment horizontal="left" vertical="center" wrapText="1"/>
    </xf>
    <xf numFmtId="170" fontId="8" fillId="5" borderId="4" xfId="0" applyNumberFormat="1" applyFont="1" applyFill="1" applyBorder="1" applyAlignment="1">
      <alignment horizontal="left" wrapText="1"/>
    </xf>
    <xf numFmtId="165" fontId="5" fillId="0" borderId="26" xfId="0" applyNumberFormat="1" applyFont="1" applyBorder="1" applyAlignment="1">
      <alignment horizontal="left" vertical="top" wrapText="1"/>
    </xf>
    <xf numFmtId="0" fontId="5" fillId="0" borderId="26" xfId="0" applyFont="1" applyBorder="1" applyAlignment="1">
      <alignment horizontal="left" vertical="top" wrapText="1"/>
    </xf>
    <xf numFmtId="0" fontId="5" fillId="0" borderId="26" xfId="0" applyFont="1" applyBorder="1" applyAlignment="1">
      <alignment horizontal="left" vertical="center"/>
    </xf>
    <xf numFmtId="0" fontId="5" fillId="0" borderId="27" xfId="0" applyFont="1" applyBorder="1" applyAlignment="1">
      <alignment horizontal="left" vertical="top" wrapText="1"/>
    </xf>
    <xf numFmtId="0" fontId="5" fillId="0" borderId="28" xfId="0" applyFont="1" applyBorder="1" applyAlignment="1">
      <alignment vertical="top" wrapText="1"/>
    </xf>
    <xf numFmtId="0" fontId="5" fillId="0" borderId="26" xfId="0" applyFont="1" applyBorder="1" applyAlignment="1">
      <alignment vertical="top" wrapText="1"/>
    </xf>
    <xf numFmtId="0" fontId="8" fillId="5" borderId="21" xfId="0" applyFont="1" applyFill="1" applyBorder="1" applyAlignment="1">
      <alignment vertical="top" wrapText="1"/>
    </xf>
    <xf numFmtId="0" fontId="5" fillId="0" borderId="29" xfId="0" applyFont="1" applyBorder="1" applyAlignment="1">
      <alignment vertical="top" wrapText="1"/>
    </xf>
    <xf numFmtId="0" fontId="5" fillId="0" borderId="26" xfId="0" applyFont="1" applyBorder="1" applyAlignment="1">
      <alignment vertical="center"/>
    </xf>
    <xf numFmtId="0" fontId="5" fillId="0" borderId="29" xfId="0" applyFont="1" applyBorder="1"/>
    <xf numFmtId="0" fontId="5" fillId="0" borderId="26" xfId="0" applyFont="1" applyBorder="1" applyAlignment="1">
      <alignment horizontal="center" vertical="center" wrapText="1"/>
    </xf>
    <xf numFmtId="0" fontId="5" fillId="0" borderId="29" xfId="0" applyFont="1" applyBorder="1" applyAlignment="1">
      <alignment horizontal="center" vertical="center" wrapText="1"/>
    </xf>
    <xf numFmtId="0" fontId="6" fillId="5" borderId="1" xfId="0" applyFont="1" applyFill="1" applyBorder="1" applyAlignment="1">
      <alignment wrapText="1"/>
    </xf>
    <xf numFmtId="0" fontId="5" fillId="5" borderId="30" xfId="0" applyFont="1" applyFill="1" applyBorder="1" applyAlignment="1">
      <alignment horizontal="left" vertical="top" wrapText="1"/>
    </xf>
    <xf numFmtId="0" fontId="5" fillId="5" borderId="1" xfId="0" applyFont="1" applyFill="1" applyBorder="1" applyAlignment="1">
      <alignment horizontal="left" vertical="center" wrapText="1"/>
    </xf>
    <xf numFmtId="0" fontId="5" fillId="5" borderId="21" xfId="0" applyFont="1" applyFill="1" applyBorder="1" applyAlignment="1">
      <alignment vertical="center" wrapText="1"/>
    </xf>
    <xf numFmtId="0" fontId="5" fillId="0" borderId="27" xfId="0" applyFont="1" applyBorder="1" applyAlignment="1">
      <alignment horizontal="left" vertical="center"/>
    </xf>
    <xf numFmtId="0" fontId="5" fillId="0" borderId="26" xfId="0" applyFont="1" applyBorder="1" applyAlignment="1">
      <alignment horizontal="center" vertical="center"/>
    </xf>
    <xf numFmtId="0" fontId="8" fillId="0" borderId="26" xfId="0" applyFont="1" applyBorder="1" applyAlignment="1">
      <alignment vertical="top" wrapText="1"/>
    </xf>
    <xf numFmtId="0" fontId="8" fillId="0" borderId="29" xfId="0" applyFont="1" applyBorder="1" applyAlignment="1">
      <alignment vertical="top" wrapText="1"/>
    </xf>
    <xf numFmtId="0" fontId="8" fillId="5" borderId="26" xfId="0" applyFont="1" applyFill="1" applyBorder="1" applyAlignment="1">
      <alignment horizontal="center" vertical="center"/>
    </xf>
    <xf numFmtId="0" fontId="8" fillId="5" borderId="1" xfId="0" applyFont="1" applyFill="1" applyBorder="1" applyAlignment="1">
      <alignment horizontal="center" vertical="center"/>
    </xf>
    <xf numFmtId="169" fontId="9" fillId="0" borderId="26" xfId="0" applyNumberFormat="1" applyFont="1" applyBorder="1" applyAlignment="1">
      <alignment horizontal="center" vertical="center"/>
    </xf>
    <xf numFmtId="167" fontId="5" fillId="0" borderId="26" xfId="0" applyNumberFormat="1" applyFont="1" applyBorder="1" applyAlignment="1">
      <alignment horizontal="center" vertical="center"/>
    </xf>
    <xf numFmtId="174" fontId="5" fillId="0" borderId="26" xfId="0" applyNumberFormat="1" applyFont="1" applyBorder="1" applyAlignment="1">
      <alignment horizontal="center" vertical="center" wrapText="1"/>
    </xf>
    <xf numFmtId="165" fontId="5" fillId="0" borderId="4" xfId="0" applyNumberFormat="1" applyFont="1" applyBorder="1" applyAlignment="1">
      <alignment vertical="top" wrapText="1"/>
    </xf>
    <xf numFmtId="0" fontId="5" fillId="0" borderId="7" xfId="0" applyFont="1" applyBorder="1" applyAlignment="1">
      <alignment vertical="top" wrapText="1"/>
    </xf>
    <xf numFmtId="167" fontId="5" fillId="0" borderId="9" xfId="0" applyNumberFormat="1" applyFont="1" applyBorder="1" applyAlignment="1">
      <alignment wrapText="1"/>
    </xf>
    <xf numFmtId="0" fontId="24" fillId="0" borderId="4" xfId="0" applyFont="1" applyBorder="1" applyAlignment="1">
      <alignment horizontal="center"/>
    </xf>
    <xf numFmtId="164" fontId="5" fillId="0" borderId="4" xfId="0" applyNumberFormat="1" applyFont="1" applyBorder="1" applyAlignment="1">
      <alignment horizontal="center" vertical="center" wrapText="1"/>
    </xf>
    <xf numFmtId="0" fontId="5" fillId="0" borderId="25" xfId="0" applyFont="1" applyBorder="1" applyAlignment="1">
      <alignment vertical="top" wrapText="1"/>
    </xf>
    <xf numFmtId="0" fontId="5" fillId="0" borderId="7" xfId="0" applyFont="1" applyBorder="1"/>
    <xf numFmtId="49" fontId="5" fillId="0" borderId="9" xfId="0" applyNumberFormat="1" applyFont="1" applyBorder="1" applyAlignment="1">
      <alignment horizontal="center" wrapText="1"/>
    </xf>
    <xf numFmtId="12" fontId="5" fillId="0" borderId="4" xfId="0" applyNumberFormat="1" applyFont="1" applyBorder="1" applyAlignment="1">
      <alignment vertical="top" wrapText="1"/>
    </xf>
    <xf numFmtId="169" fontId="5" fillId="0" borderId="10" xfId="0" applyNumberFormat="1" applyFont="1" applyBorder="1" applyAlignment="1">
      <alignment vertical="top" wrapText="1"/>
    </xf>
    <xf numFmtId="9" fontId="5" fillId="0" borderId="4" xfId="0" applyNumberFormat="1" applyFont="1" applyBorder="1" applyAlignment="1">
      <alignment horizontal="center" wrapText="1"/>
    </xf>
    <xf numFmtId="169" fontId="5" fillId="0" borderId="4" xfId="0" applyNumberFormat="1" applyFont="1" applyBorder="1" applyAlignment="1">
      <alignment horizontal="center" wrapText="1"/>
    </xf>
    <xf numFmtId="169" fontId="5" fillId="0" borderId="4" xfId="0" applyNumberFormat="1" applyFont="1" applyBorder="1" applyAlignment="1">
      <alignment vertical="top" wrapText="1"/>
    </xf>
    <xf numFmtId="166" fontId="24" fillId="0" borderId="4" xfId="0" applyNumberFormat="1" applyFont="1" applyBorder="1"/>
    <xf numFmtId="167" fontId="24" fillId="0" borderId="4" xfId="0" applyNumberFormat="1" applyFont="1" applyBorder="1"/>
    <xf numFmtId="175" fontId="5" fillId="0" borderId="4" xfId="0" applyNumberFormat="1" applyFont="1" applyBorder="1" applyAlignment="1">
      <alignment horizontal="right"/>
    </xf>
    <xf numFmtId="0" fontId="5" fillId="0" borderId="26" xfId="0" applyFont="1" applyBorder="1" applyAlignment="1">
      <alignment horizontal="left" vertical="center" wrapText="1"/>
    </xf>
    <xf numFmtId="0" fontId="8" fillId="0" borderId="10" xfId="0" applyFont="1" applyBorder="1" applyAlignment="1">
      <alignment horizontal="center"/>
    </xf>
    <xf numFmtId="170" fontId="5" fillId="0" borderId="4" xfId="0" applyNumberFormat="1" applyFont="1" applyBorder="1" applyAlignment="1">
      <alignment wrapText="1"/>
    </xf>
    <xf numFmtId="170" fontId="5" fillId="0" borderId="7" xfId="0" applyNumberFormat="1" applyFont="1" applyBorder="1" applyAlignment="1">
      <alignment wrapText="1"/>
    </xf>
    <xf numFmtId="0" fontId="13" fillId="0" borderId="4" xfId="0" applyFont="1" applyBorder="1" applyAlignment="1">
      <alignment wrapText="1"/>
    </xf>
    <xf numFmtId="0" fontId="5" fillId="0" borderId="26" xfId="0" applyFont="1" applyBorder="1"/>
    <xf numFmtId="0" fontId="5" fillId="0" borderId="29" xfId="0" applyFont="1" applyBorder="1" applyAlignment="1">
      <alignment horizontal="center"/>
    </xf>
    <xf numFmtId="0" fontId="13" fillId="0" borderId="4" xfId="0" applyFont="1" applyBorder="1" applyAlignment="1">
      <alignment horizontal="center" vertical="center" wrapText="1"/>
    </xf>
    <xf numFmtId="168" fontId="8" fillId="0" borderId="4" xfId="0" applyNumberFormat="1" applyFont="1" applyBorder="1" applyAlignment="1">
      <alignment horizontal="center" vertical="center" wrapText="1"/>
    </xf>
    <xf numFmtId="164" fontId="13" fillId="0" borderId="4" xfId="0" applyNumberFormat="1" applyFont="1" applyBorder="1" applyAlignment="1">
      <alignment horizontal="center" vertical="center" wrapText="1"/>
    </xf>
    <xf numFmtId="0" fontId="8" fillId="0" borderId="10" xfId="0" applyFont="1" applyBorder="1" applyAlignment="1">
      <alignment horizontal="center"/>
    </xf>
    <xf numFmtId="0" fontId="9" fillId="0" borderId="9" xfId="0" applyFont="1" applyBorder="1" applyAlignment="1">
      <alignment vertical="top" wrapText="1"/>
    </xf>
    <xf numFmtId="169" fontId="13" fillId="0" borderId="17" xfId="0" applyNumberFormat="1" applyFont="1" applyBorder="1" applyAlignment="1">
      <alignment horizontal="left" vertical="top" wrapText="1"/>
    </xf>
    <xf numFmtId="0" fontId="5" fillId="0" borderId="29" xfId="0" applyFont="1" applyBorder="1" applyAlignment="1">
      <alignment horizontal="left" vertical="top" wrapText="1"/>
    </xf>
    <xf numFmtId="169" fontId="9" fillId="0" borderId="26" xfId="0" applyNumberFormat="1" applyFont="1" applyBorder="1" applyAlignment="1">
      <alignment horizontal="center" vertical="top"/>
    </xf>
    <xf numFmtId="0" fontId="5" fillId="0" borderId="26" xfId="0" applyFont="1" applyBorder="1" applyAlignment="1">
      <alignment horizontal="left" wrapText="1"/>
    </xf>
    <xf numFmtId="172" fontId="5" fillId="0" borderId="26" xfId="0" applyNumberFormat="1" applyFont="1" applyBorder="1"/>
    <xf numFmtId="0" fontId="8" fillId="8" borderId="4" xfId="0" applyFont="1" applyFill="1" applyBorder="1" applyAlignment="1">
      <alignment horizontal="left" vertical="top"/>
    </xf>
    <xf numFmtId="0" fontId="8" fillId="8" borderId="31" xfId="0" applyFont="1" applyFill="1" applyBorder="1" applyAlignment="1">
      <alignment horizontal="left" vertical="top"/>
    </xf>
    <xf numFmtId="0" fontId="8" fillId="8" borderId="32" xfId="0" applyFont="1" applyFill="1" applyBorder="1" applyAlignment="1">
      <alignment horizontal="left" vertical="top"/>
    </xf>
    <xf numFmtId="0" fontId="8" fillId="8" borderId="32" xfId="0" applyFont="1" applyFill="1" applyBorder="1" applyAlignment="1">
      <alignment horizontal="left"/>
    </xf>
    <xf numFmtId="0" fontId="8" fillId="8" borderId="33" xfId="0" applyFont="1" applyFill="1" applyBorder="1" applyAlignment="1">
      <alignment horizontal="left" vertical="top"/>
    </xf>
    <xf numFmtId="0" fontId="8" fillId="8" borderId="34" xfId="0" applyFont="1" applyFill="1" applyBorder="1" applyAlignment="1">
      <alignment vertical="top"/>
    </xf>
    <xf numFmtId="0" fontId="8" fillId="8" borderId="32" xfId="0" applyFont="1" applyFill="1" applyBorder="1" applyAlignment="1">
      <alignment vertical="top"/>
    </xf>
    <xf numFmtId="0" fontId="8" fillId="8" borderId="9" xfId="0" applyFont="1" applyFill="1" applyBorder="1" applyAlignment="1">
      <alignment horizontal="left" wrapText="1"/>
    </xf>
    <xf numFmtId="167" fontId="8" fillId="8" borderId="9" xfId="0" applyNumberFormat="1" applyFont="1" applyFill="1" applyBorder="1"/>
    <xf numFmtId="0" fontId="8" fillId="8" borderId="4" xfId="0" applyFont="1" applyFill="1" applyBorder="1" applyAlignment="1">
      <alignment vertical="top" wrapText="1"/>
    </xf>
    <xf numFmtId="0" fontId="8" fillId="8" borderId="35" xfId="0" applyFont="1" applyFill="1" applyBorder="1" applyAlignment="1">
      <alignment vertical="top"/>
    </xf>
    <xf numFmtId="167" fontId="8" fillId="8" borderId="4" xfId="0" applyNumberFormat="1" applyFont="1" applyFill="1" applyBorder="1"/>
    <xf numFmtId="167" fontId="8" fillId="8" borderId="25" xfId="0" applyNumberFormat="1" applyFont="1" applyFill="1" applyBorder="1" applyAlignment="1">
      <alignment wrapText="1"/>
    </xf>
    <xf numFmtId="0" fontId="8" fillId="8" borderId="25" xfId="0" applyFont="1" applyFill="1" applyBorder="1" applyAlignment="1">
      <alignment vertical="top"/>
    </xf>
    <xf numFmtId="0" fontId="8" fillId="8" borderId="4" xfId="0" applyFont="1" applyFill="1" applyBorder="1" applyAlignment="1">
      <alignment vertical="top"/>
    </xf>
    <xf numFmtId="0" fontId="8" fillId="8" borderId="4" xfId="0" applyFont="1" applyFill="1" applyBorder="1"/>
    <xf numFmtId="0" fontId="8" fillId="8" borderId="4" xfId="0" applyFont="1" applyFill="1" applyBorder="1" applyAlignment="1">
      <alignment horizontal="center"/>
    </xf>
    <xf numFmtId="0" fontId="8" fillId="8" borderId="4" xfId="0" applyFont="1" applyFill="1" applyBorder="1" applyAlignment="1">
      <alignment horizontal="center" wrapText="1"/>
    </xf>
    <xf numFmtId="168" fontId="8" fillId="8" borderId="4" xfId="0" applyNumberFormat="1" applyFont="1" applyFill="1" applyBorder="1" applyAlignment="1">
      <alignment horizontal="center" wrapText="1"/>
    </xf>
    <xf numFmtId="164" fontId="8" fillId="8" borderId="4" xfId="0" applyNumberFormat="1" applyFont="1" applyFill="1" applyBorder="1" applyAlignment="1">
      <alignment horizontal="center" wrapText="1"/>
    </xf>
    <xf numFmtId="0" fontId="8" fillId="8" borderId="4" xfId="0" applyFont="1" applyFill="1" applyBorder="1" applyAlignment="1">
      <alignment wrapText="1"/>
    </xf>
    <xf numFmtId="0" fontId="8" fillId="8" borderId="12" xfId="0" applyFont="1" applyFill="1" applyBorder="1" applyAlignment="1">
      <alignment horizontal="center"/>
    </xf>
    <xf numFmtId="0" fontId="8" fillId="8" borderId="11" xfId="0" applyFont="1" applyFill="1" applyBorder="1" applyAlignment="1">
      <alignment vertical="top"/>
    </xf>
    <xf numFmtId="0" fontId="8" fillId="8" borderId="36" xfId="0" applyFont="1" applyFill="1" applyBorder="1" applyAlignment="1">
      <alignment horizontal="left"/>
    </xf>
    <xf numFmtId="0" fontId="8" fillId="8" borderId="4" xfId="0" applyFont="1" applyFill="1" applyBorder="1" applyAlignment="1">
      <alignment horizontal="left"/>
    </xf>
    <xf numFmtId="0" fontId="26" fillId="8" borderId="4" xfId="0" applyFont="1" applyFill="1" applyBorder="1" applyAlignment="1">
      <alignment horizontal="left" wrapText="1"/>
    </xf>
    <xf numFmtId="0" fontId="26" fillId="8" borderId="9" xfId="0" applyFont="1" applyFill="1" applyBorder="1" applyAlignment="1">
      <alignment horizontal="center" vertical="center" wrapText="1"/>
    </xf>
    <xf numFmtId="0" fontId="8" fillId="8" borderId="13" xfId="0" applyFont="1" applyFill="1" applyBorder="1" applyAlignment="1">
      <alignment horizontal="center"/>
    </xf>
    <xf numFmtId="3" fontId="8" fillId="8" borderId="4" xfId="0" applyNumberFormat="1" applyFont="1" applyFill="1" applyBorder="1" applyAlignment="1">
      <alignment horizontal="center"/>
    </xf>
    <xf numFmtId="3" fontId="7" fillId="8" borderId="4" xfId="0" applyNumberFormat="1" applyFont="1" applyFill="1" applyBorder="1" applyAlignment="1">
      <alignment horizontal="center"/>
    </xf>
    <xf numFmtId="12" fontId="26" fillId="8" borderId="37" xfId="0" applyNumberFormat="1" applyFont="1" applyFill="1" applyBorder="1" applyAlignment="1">
      <alignment horizontal="right" vertical="top" wrapText="1"/>
    </xf>
    <xf numFmtId="169" fontId="26" fillId="8" borderId="38" xfId="0" applyNumberFormat="1" applyFont="1" applyFill="1" applyBorder="1" applyAlignment="1">
      <alignment horizontal="center" vertical="top"/>
    </xf>
    <xf numFmtId="9" fontId="26" fillId="8" borderId="37" xfId="0" applyNumberFormat="1" applyFont="1" applyFill="1" applyBorder="1" applyAlignment="1">
      <alignment horizontal="center" vertical="top"/>
    </xf>
    <xf numFmtId="169" fontId="26" fillId="8" borderId="37" xfId="0" applyNumberFormat="1" applyFont="1" applyFill="1" applyBorder="1" applyAlignment="1">
      <alignment horizontal="center" vertical="top"/>
    </xf>
    <xf numFmtId="169" fontId="26" fillId="8" borderId="39" xfId="0" applyNumberFormat="1" applyFont="1" applyFill="1" applyBorder="1" applyAlignment="1">
      <alignment horizontal="center" vertical="top"/>
    </xf>
    <xf numFmtId="169" fontId="26" fillId="8" borderId="32" xfId="0" applyNumberFormat="1" applyFont="1" applyFill="1" applyBorder="1" applyAlignment="1">
      <alignment horizontal="center" vertical="top"/>
    </xf>
    <xf numFmtId="0" fontId="26" fillId="8" borderId="40" xfId="0" applyFont="1" applyFill="1" applyBorder="1" applyAlignment="1">
      <alignment horizontal="center" vertical="center" wrapText="1"/>
    </xf>
    <xf numFmtId="0" fontId="8" fillId="8" borderId="4" xfId="0" applyFont="1" applyFill="1" applyBorder="1" applyAlignment="1">
      <alignment horizontal="left" wrapText="1"/>
    </xf>
    <xf numFmtId="169" fontId="26" fillId="8" borderId="4" xfId="0" applyNumberFormat="1" applyFont="1" applyFill="1" applyBorder="1" applyAlignment="1">
      <alignment horizontal="center" vertical="top" wrapText="1"/>
    </xf>
    <xf numFmtId="3" fontId="8" fillId="8" borderId="7" xfId="0" applyNumberFormat="1" applyFont="1" applyFill="1" applyBorder="1" applyAlignment="1">
      <alignment horizontal="right"/>
    </xf>
    <xf numFmtId="169" fontId="26" fillId="8" borderId="7" xfId="0" applyNumberFormat="1" applyFont="1" applyFill="1" applyBorder="1" applyAlignment="1">
      <alignment horizontal="center" wrapText="1"/>
    </xf>
    <xf numFmtId="169" fontId="8" fillId="8" borderId="4" xfId="0" applyNumberFormat="1" applyFont="1" applyFill="1" applyBorder="1" applyAlignment="1">
      <alignment horizontal="center"/>
    </xf>
    <xf numFmtId="0" fontId="8" fillId="8" borderId="4" xfId="0" applyFont="1" applyFill="1" applyBorder="1" applyAlignment="1">
      <alignment wrapText="1"/>
    </xf>
    <xf numFmtId="0" fontId="8" fillId="8" borderId="4" xfId="0" applyFont="1" applyFill="1" applyBorder="1" applyAlignment="1">
      <alignment horizontal="right"/>
    </xf>
    <xf numFmtId="0" fontId="8" fillId="8" borderId="4" xfId="0" applyFont="1" applyFill="1" applyBorder="1" applyAlignment="1">
      <alignment horizontal="left" wrapText="1"/>
    </xf>
    <xf numFmtId="169" fontId="26" fillId="8" borderId="4" xfId="0" applyNumberFormat="1" applyFont="1" applyFill="1" applyBorder="1" applyAlignment="1">
      <alignment horizontal="right"/>
    </xf>
    <xf numFmtId="0" fontId="8" fillId="8" borderId="21" xfId="0" applyFont="1" applyFill="1" applyBorder="1" applyAlignment="1">
      <alignment vertical="top" wrapText="1"/>
    </xf>
    <xf numFmtId="0" fontId="5" fillId="8" borderId="12" xfId="0" applyFont="1" applyFill="1" applyBorder="1" applyAlignment="1">
      <alignment horizontal="center" vertical="center" wrapText="1"/>
    </xf>
    <xf numFmtId="0" fontId="5" fillId="8" borderId="4" xfId="0" applyFont="1" applyFill="1" applyBorder="1" applyAlignment="1">
      <alignment horizontal="left" vertical="top" wrapText="1"/>
    </xf>
    <xf numFmtId="0" fontId="8" fillId="8" borderId="4" xfId="0" applyFont="1" applyFill="1" applyBorder="1" applyAlignment="1">
      <alignment horizontal="left" wrapText="1"/>
    </xf>
    <xf numFmtId="176" fontId="8" fillId="8" borderId="4" xfId="0" applyNumberFormat="1" applyFont="1" applyFill="1" applyBorder="1" applyAlignment="1">
      <alignment horizontal="center"/>
    </xf>
    <xf numFmtId="0" fontId="8" fillId="8" borderId="4" xfId="0" applyFont="1" applyFill="1" applyBorder="1" applyAlignment="1">
      <alignment horizontal="center"/>
    </xf>
    <xf numFmtId="0" fontId="8" fillId="8" borderId="7" xfId="0" applyFont="1" applyFill="1" applyBorder="1" applyAlignment="1">
      <alignment horizontal="left"/>
    </xf>
    <xf numFmtId="0" fontId="36" fillId="8" borderId="4" xfId="0" applyFont="1" applyFill="1" applyBorder="1" applyAlignment="1">
      <alignment horizontal="center" vertical="center"/>
    </xf>
    <xf numFmtId="0" fontId="8" fillId="8" borderId="4" xfId="0" applyFont="1" applyFill="1" applyBorder="1" applyAlignment="1">
      <alignment horizontal="center" vertical="center"/>
    </xf>
    <xf numFmtId="165" fontId="8" fillId="8" borderId="4" xfId="0" applyNumberFormat="1" applyFont="1" applyFill="1" applyBorder="1" applyAlignment="1">
      <alignment horizontal="left" vertical="top" wrapText="1"/>
    </xf>
    <xf numFmtId="167" fontId="5" fillId="8" borderId="4" xfId="0" applyNumberFormat="1" applyFont="1" applyFill="1" applyBorder="1" applyAlignment="1">
      <alignment vertical="center" wrapText="1"/>
    </xf>
    <xf numFmtId="167" fontId="5" fillId="8" borderId="13" xfId="0" applyNumberFormat="1" applyFont="1" applyFill="1" applyBorder="1" applyAlignment="1">
      <alignment vertical="center" wrapText="1"/>
    </xf>
    <xf numFmtId="0" fontId="5" fillId="8" borderId="9" xfId="0" applyFont="1" applyFill="1" applyBorder="1" applyAlignment="1">
      <alignment vertical="top"/>
    </xf>
    <xf numFmtId="0" fontId="5" fillId="8" borderId="4" xfId="0" applyFont="1" applyFill="1" applyBorder="1" applyAlignment="1">
      <alignment vertical="top"/>
    </xf>
    <xf numFmtId="0" fontId="5" fillId="8" borderId="4" xfId="0" applyFont="1" applyFill="1" applyBorder="1"/>
    <xf numFmtId="0" fontId="5" fillId="8" borderId="4" xfId="0" applyFont="1" applyFill="1" applyBorder="1" applyAlignment="1">
      <alignment vertical="center" wrapText="1"/>
    </xf>
    <xf numFmtId="0" fontId="5" fillId="8" borderId="4" xfId="0" applyFont="1" applyFill="1" applyBorder="1" applyAlignment="1">
      <alignment vertical="center"/>
    </xf>
    <xf numFmtId="0" fontId="5" fillId="8" borderId="4" xfId="0" applyFont="1" applyFill="1" applyBorder="1" applyAlignment="1">
      <alignment horizontal="center"/>
    </xf>
    <xf numFmtId="0" fontId="13" fillId="8" borderId="0" xfId="0" applyFont="1" applyFill="1" applyAlignment="1">
      <alignment horizontal="center" vertical="center"/>
    </xf>
    <xf numFmtId="164" fontId="13" fillId="8" borderId="0" xfId="0" applyNumberFormat="1" applyFont="1" applyFill="1"/>
    <xf numFmtId="0" fontId="5" fillId="8" borderId="4" xfId="0" applyFont="1" applyFill="1" applyBorder="1" applyAlignment="1">
      <alignment horizontal="left" vertical="center" wrapText="1"/>
    </xf>
    <xf numFmtId="0" fontId="5" fillId="8" borderId="4" xfId="0" applyFont="1" applyFill="1" applyBorder="1" applyAlignment="1">
      <alignment wrapText="1"/>
    </xf>
    <xf numFmtId="0" fontId="5" fillId="8" borderId="4" xfId="0" applyFont="1" applyFill="1" applyBorder="1" applyAlignment="1">
      <alignment horizontal="center" vertical="center"/>
    </xf>
    <xf numFmtId="0" fontId="9" fillId="8" borderId="4" xfId="0" applyFont="1" applyFill="1" applyBorder="1" applyAlignment="1">
      <alignment horizontal="left" vertical="top" wrapText="1"/>
    </xf>
    <xf numFmtId="0" fontId="26" fillId="8" borderId="4" xfId="0" applyFont="1" applyFill="1" applyBorder="1" applyAlignment="1">
      <alignment horizontal="center" vertical="center" wrapText="1"/>
    </xf>
    <xf numFmtId="0" fontId="9" fillId="8" borderId="4" xfId="0" applyFont="1" applyFill="1" applyBorder="1" applyAlignment="1">
      <alignment vertical="top" wrapText="1"/>
    </xf>
    <xf numFmtId="12" fontId="9" fillId="8" borderId="4" xfId="0" applyNumberFormat="1" applyFont="1" applyFill="1" applyBorder="1" applyAlignment="1">
      <alignment horizontal="right" vertical="top" wrapText="1"/>
    </xf>
    <xf numFmtId="169" fontId="9" fillId="8" borderId="7" xfId="0" applyNumberFormat="1" applyFont="1" applyFill="1" applyBorder="1" applyAlignment="1">
      <alignment horizontal="center" vertical="top"/>
    </xf>
    <xf numFmtId="9" fontId="9" fillId="8" borderId="4" xfId="0" applyNumberFormat="1" applyFont="1" applyFill="1" applyBorder="1" applyAlignment="1">
      <alignment horizontal="center" vertical="top"/>
    </xf>
    <xf numFmtId="169" fontId="9" fillId="8" borderId="4" xfId="0" applyNumberFormat="1" applyFont="1" applyFill="1" applyBorder="1" applyAlignment="1">
      <alignment horizontal="center" vertical="top"/>
    </xf>
    <xf numFmtId="169" fontId="9" fillId="8" borderId="15" xfId="0" applyNumberFormat="1" applyFont="1" applyFill="1" applyBorder="1" applyAlignment="1">
      <alignment horizontal="center" vertical="top"/>
    </xf>
    <xf numFmtId="0" fontId="24" fillId="8" borderId="4" xfId="0" applyFont="1" applyFill="1" applyBorder="1" applyAlignment="1">
      <alignment wrapText="1"/>
    </xf>
    <xf numFmtId="169" fontId="9" fillId="8" borderId="4" xfId="0" applyNumberFormat="1" applyFont="1" applyFill="1" applyBorder="1" applyAlignment="1">
      <alignment horizontal="center" vertical="top" wrapText="1"/>
    </xf>
    <xf numFmtId="3" fontId="13" fillId="8" borderId="0" xfId="0" applyNumberFormat="1" applyFont="1" applyFill="1"/>
    <xf numFmtId="169" fontId="9" fillId="8" borderId="4" xfId="0" applyNumberFormat="1" applyFont="1" applyFill="1" applyBorder="1" applyAlignment="1">
      <alignment horizontal="center" vertical="center" wrapText="1"/>
    </xf>
    <xf numFmtId="169" fontId="5" fillId="8" borderId="4" xfId="0" applyNumberFormat="1" applyFont="1" applyFill="1" applyBorder="1" applyAlignment="1">
      <alignment horizontal="center" vertical="center"/>
    </xf>
    <xf numFmtId="169" fontId="5" fillId="8" borderId="4" xfId="0" applyNumberFormat="1" applyFont="1" applyFill="1" applyBorder="1" applyAlignment="1">
      <alignment horizontal="center" vertical="center" wrapText="1"/>
    </xf>
    <xf numFmtId="169" fontId="5" fillId="8" borderId="4" xfId="0" applyNumberFormat="1" applyFont="1" applyFill="1" applyBorder="1" applyAlignment="1">
      <alignment horizontal="right" vertical="center"/>
    </xf>
    <xf numFmtId="0" fontId="24" fillId="8" borderId="4" xfId="0" applyFont="1" applyFill="1" applyBorder="1" applyAlignment="1">
      <alignment vertical="center" wrapText="1"/>
    </xf>
    <xf numFmtId="169" fontId="13" fillId="8" borderId="4" xfId="0" applyNumberFormat="1" applyFont="1" applyFill="1" applyBorder="1" applyAlignment="1">
      <alignment horizontal="right"/>
    </xf>
    <xf numFmtId="0" fontId="8" fillId="8" borderId="0" xfId="0" applyFont="1" applyFill="1" applyAlignment="1">
      <alignment horizontal="center"/>
    </xf>
    <xf numFmtId="0" fontId="5" fillId="8" borderId="4" xfId="0" applyFont="1" applyFill="1" applyBorder="1" applyAlignment="1">
      <alignment horizontal="left" vertical="center"/>
    </xf>
    <xf numFmtId="0" fontId="5" fillId="8" borderId="0" xfId="0" applyFont="1" applyFill="1" applyAlignment="1">
      <alignment horizontal="left" vertical="center"/>
    </xf>
    <xf numFmtId="0" fontId="8" fillId="0" borderId="31" xfId="0" applyFont="1" applyBorder="1" applyAlignment="1">
      <alignment horizontal="left" vertical="top"/>
    </xf>
    <xf numFmtId="0" fontId="8" fillId="0" borderId="32" xfId="0" applyFont="1" applyBorder="1" applyAlignment="1">
      <alignment horizontal="left" vertical="top"/>
    </xf>
    <xf numFmtId="0" fontId="8" fillId="0" borderId="32" xfId="0" applyFont="1" applyBorder="1" applyAlignment="1">
      <alignment horizontal="left"/>
    </xf>
    <xf numFmtId="0" fontId="8" fillId="0" borderId="33" xfId="0" applyFont="1" applyBorder="1" applyAlignment="1">
      <alignment horizontal="left" vertical="top"/>
    </xf>
    <xf numFmtId="0" fontId="8" fillId="0" borderId="34" xfId="0" applyFont="1" applyBorder="1" applyAlignment="1">
      <alignment vertical="top"/>
    </xf>
    <xf numFmtId="0" fontId="8" fillId="0" borderId="32" xfId="0" applyFont="1" applyBorder="1" applyAlignment="1">
      <alignment vertical="top"/>
    </xf>
    <xf numFmtId="167" fontId="8" fillId="0" borderId="9" xfId="0" applyNumberFormat="1" applyFont="1" applyBorder="1"/>
    <xf numFmtId="167" fontId="5" fillId="5" borderId="4" xfId="0" applyNumberFormat="1" applyFont="1" applyFill="1" applyBorder="1" applyAlignment="1">
      <alignment vertical="center" wrapText="1"/>
    </xf>
    <xf numFmtId="0" fontId="8" fillId="0" borderId="9" xfId="0" applyFont="1" applyBorder="1" applyAlignment="1">
      <alignment vertical="top"/>
    </xf>
    <xf numFmtId="0" fontId="8" fillId="0" borderId="4" xfId="0" applyFont="1" applyBorder="1" applyAlignment="1">
      <alignment vertical="top"/>
    </xf>
    <xf numFmtId="0" fontId="8" fillId="0" borderId="4" xfId="0" applyFont="1" applyBorder="1" applyAlignment="1">
      <alignment horizontal="center"/>
    </xf>
    <xf numFmtId="168" fontId="8" fillId="0" borderId="9" xfId="0" applyNumberFormat="1" applyFont="1" applyBorder="1" applyAlignment="1">
      <alignment horizontal="center"/>
    </xf>
    <xf numFmtId="164" fontId="8" fillId="0" borderId="4" xfId="0" applyNumberFormat="1" applyFont="1" applyBorder="1" applyAlignment="1">
      <alignment horizontal="center"/>
    </xf>
    <xf numFmtId="168" fontId="8" fillId="0" borderId="4" xfId="0" applyNumberFormat="1" applyFont="1" applyBorder="1" applyAlignment="1">
      <alignment horizontal="center" wrapText="1"/>
    </xf>
    <xf numFmtId="0" fontId="8" fillId="5" borderId="15" xfId="0" applyFont="1" applyFill="1" applyBorder="1" applyAlignment="1">
      <alignment wrapText="1"/>
    </xf>
    <xf numFmtId="0" fontId="8" fillId="5" borderId="11" xfId="0" applyFont="1" applyFill="1" applyBorder="1" applyAlignment="1">
      <alignment vertical="top"/>
    </xf>
    <xf numFmtId="0" fontId="7" fillId="0" borderId="0" xfId="0" applyFont="1" applyAlignment="1">
      <alignment horizontal="center" vertical="center" wrapText="1"/>
    </xf>
    <xf numFmtId="0" fontId="37" fillId="0" borderId="4" xfId="0" applyFont="1" applyBorder="1" applyAlignment="1">
      <alignment wrapText="1"/>
    </xf>
    <xf numFmtId="169" fontId="5" fillId="0" borderId="4" xfId="0" applyNumberFormat="1" applyFont="1" applyBorder="1" applyAlignment="1">
      <alignment horizontal="left" wrapText="1"/>
    </xf>
    <xf numFmtId="0" fontId="8" fillId="0" borderId="0" xfId="0" applyFont="1" applyAlignment="1">
      <alignment horizontal="center"/>
    </xf>
    <xf numFmtId="176" fontId="8" fillId="5" borderId="4" xfId="0" applyNumberFormat="1" applyFont="1" applyFill="1" applyBorder="1" applyAlignment="1">
      <alignment horizontal="center"/>
    </xf>
    <xf numFmtId="0" fontId="5" fillId="0" borderId="0" xfId="0" applyFont="1" applyAlignment="1">
      <alignment horizontal="left" vertical="center"/>
    </xf>
    <xf numFmtId="0" fontId="13" fillId="5" borderId="4" xfId="0" applyFont="1" applyFill="1" applyBorder="1" applyAlignment="1">
      <alignment horizontal="left" wrapText="1"/>
    </xf>
    <xf numFmtId="167" fontId="5" fillId="0" borderId="4" xfId="0" applyNumberFormat="1" applyFont="1" applyBorder="1" applyAlignment="1">
      <alignment horizontal="left" wrapText="1"/>
    </xf>
    <xf numFmtId="0" fontId="8" fillId="0" borderId="4" xfId="0" applyFont="1" applyBorder="1" applyAlignment="1">
      <alignment horizontal="left" vertical="top"/>
    </xf>
    <xf numFmtId="0" fontId="8" fillId="0" borderId="4" xfId="0" applyFont="1" applyBorder="1" applyAlignment="1">
      <alignment horizontal="left"/>
    </xf>
    <xf numFmtId="0" fontId="8" fillId="0" borderId="25" xfId="0" applyFont="1" applyBorder="1" applyAlignment="1">
      <alignment horizontal="left" vertical="top"/>
    </xf>
    <xf numFmtId="0" fontId="8" fillId="0" borderId="8" xfId="0" applyFont="1" applyBorder="1" applyAlignment="1">
      <alignment vertical="top"/>
    </xf>
    <xf numFmtId="0" fontId="8" fillId="0" borderId="10" xfId="0" applyFont="1" applyBorder="1" applyAlignment="1">
      <alignment vertical="top"/>
    </xf>
    <xf numFmtId="0" fontId="26" fillId="0" borderId="4" xfId="0" applyFont="1" applyBorder="1" applyAlignment="1">
      <alignment horizontal="left" vertical="top"/>
    </xf>
    <xf numFmtId="0" fontId="26" fillId="0" borderId="4" xfId="0" applyFont="1" applyBorder="1" applyAlignment="1">
      <alignment horizontal="left"/>
    </xf>
    <xf numFmtId="0" fontId="8" fillId="0" borderId="10" xfId="0" applyFont="1" applyBorder="1"/>
    <xf numFmtId="0" fontId="8" fillId="0" borderId="25" xfId="0" applyFont="1" applyBorder="1" applyAlignment="1">
      <alignment horizontal="left"/>
    </xf>
    <xf numFmtId="0" fontId="8" fillId="0" borderId="9" xfId="0" applyFont="1" applyBorder="1" applyAlignment="1">
      <alignment horizontal="center"/>
    </xf>
    <xf numFmtId="1" fontId="8" fillId="0" borderId="9" xfId="0" applyNumberFormat="1" applyFont="1" applyBorder="1" applyAlignment="1">
      <alignment horizontal="center"/>
    </xf>
    <xf numFmtId="3" fontId="8" fillId="5" borderId="4" xfId="0" applyNumberFormat="1" applyFont="1" applyFill="1" applyBorder="1" applyAlignment="1">
      <alignment horizontal="center"/>
    </xf>
    <xf numFmtId="49" fontId="8" fillId="0" borderId="4" xfId="0" applyNumberFormat="1" applyFont="1" applyBorder="1" applyAlignment="1">
      <alignment vertical="top"/>
    </xf>
    <xf numFmtId="3" fontId="8" fillId="0" borderId="4" xfId="0" applyNumberFormat="1" applyFont="1" applyBorder="1" applyAlignment="1">
      <alignment horizontal="right"/>
    </xf>
    <xf numFmtId="166" fontId="8" fillId="0" borderId="4" xfId="0" applyNumberFormat="1" applyFont="1" applyBorder="1" applyAlignment="1">
      <alignment horizontal="center"/>
    </xf>
    <xf numFmtId="170" fontId="8" fillId="5" borderId="4" xfId="0" applyNumberFormat="1" applyFont="1" applyFill="1" applyBorder="1" applyAlignment="1">
      <alignment horizontal="left"/>
    </xf>
    <xf numFmtId="170" fontId="8" fillId="5" borderId="15" xfId="0" applyNumberFormat="1" applyFont="1" applyFill="1" applyBorder="1" applyAlignment="1">
      <alignment horizontal="left"/>
    </xf>
    <xf numFmtId="0" fontId="8" fillId="0" borderId="9" xfId="0" applyFont="1" applyBorder="1" applyAlignment="1">
      <alignment horizontal="left"/>
    </xf>
    <xf numFmtId="0" fontId="12" fillId="0" borderId="0" xfId="0" applyFont="1"/>
    <xf numFmtId="0" fontId="24" fillId="0" borderId="0" xfId="0" applyFont="1" applyAlignment="1">
      <alignment wrapText="1"/>
    </xf>
    <xf numFmtId="0" fontId="24" fillId="0" borderId="0" xfId="0" applyFont="1"/>
    <xf numFmtId="0" fontId="5" fillId="2" borderId="4" xfId="0" applyFont="1" applyFill="1" applyBorder="1" applyAlignment="1">
      <alignment horizontal="center" vertical="center" wrapText="1"/>
    </xf>
    <xf numFmtId="0" fontId="38" fillId="0" borderId="4" xfId="0" applyFont="1" applyBorder="1" applyAlignment="1">
      <alignment vertical="center" wrapText="1"/>
    </xf>
    <xf numFmtId="0" fontId="38" fillId="0" borderId="4" xfId="0" applyFont="1" applyBorder="1" applyAlignment="1">
      <alignment wrapText="1"/>
    </xf>
    <xf numFmtId="0" fontId="38" fillId="0" borderId="4" xfId="0" applyFont="1" applyBorder="1" applyAlignment="1">
      <alignment horizontal="center" vertical="center" wrapText="1"/>
    </xf>
    <xf numFmtId="0" fontId="12" fillId="0" borderId="4" xfId="0" applyFont="1" applyBorder="1" applyAlignment="1">
      <alignment wrapText="1"/>
    </xf>
    <xf numFmtId="0" fontId="12" fillId="5" borderId="4" xfId="0" applyFont="1" applyFill="1" applyBorder="1"/>
    <xf numFmtId="0" fontId="5" fillId="9" borderId="4" xfId="0" applyFont="1" applyFill="1" applyBorder="1" applyAlignment="1">
      <alignment vertical="center" wrapText="1"/>
    </xf>
    <xf numFmtId="0" fontId="12" fillId="10" borderId="4" xfId="0" applyFont="1" applyFill="1" applyBorder="1"/>
    <xf numFmtId="0" fontId="12" fillId="11" borderId="4" xfId="0" applyFont="1" applyFill="1" applyBorder="1"/>
    <xf numFmtId="3" fontId="8" fillId="5" borderId="4" xfId="0" applyNumberFormat="1" applyFont="1" applyFill="1" applyBorder="1" applyAlignment="1">
      <alignment vertical="center" wrapText="1"/>
    </xf>
    <xf numFmtId="0" fontId="39" fillId="5"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betyar715@hotmail.com" TargetMode="External"/><Relationship Id="rId13" Type="http://schemas.openxmlformats.org/officeDocument/2006/relationships/hyperlink" Target="mailto:LKROJAS@HOTMAIL.COM" TargetMode="External"/><Relationship Id="rId18" Type="http://schemas.openxmlformats.org/officeDocument/2006/relationships/hyperlink" Target="mailto:leonardolizarazoparra@gmail.com" TargetMode="External"/><Relationship Id="rId3" Type="http://schemas.openxmlformats.org/officeDocument/2006/relationships/hyperlink" Target="mailto:mauronio25@hotmail.com" TargetMode="External"/><Relationship Id="rId21" Type="http://schemas.openxmlformats.org/officeDocument/2006/relationships/hyperlink" Target="https://community.secop.gov.co/Public/Tendering/OpportunityDetail/Index?noticeUID=CO1.NTC.9552157&amp;isFromPublicArea=True&amp;isModal=False" TargetMode="External"/><Relationship Id="rId7" Type="http://schemas.openxmlformats.org/officeDocument/2006/relationships/hyperlink" Target="mailto:misanchez07@misena.edu.co" TargetMode="External"/><Relationship Id="rId12" Type="http://schemas.openxmlformats.org/officeDocument/2006/relationships/hyperlink" Target="mailto:walterjmesah@gmail.com" TargetMode="External"/><Relationship Id="rId17" Type="http://schemas.openxmlformats.org/officeDocument/2006/relationships/hyperlink" Target="mailto:v.mansa@hotmail.com" TargetMode="External"/><Relationship Id="rId2" Type="http://schemas.openxmlformats.org/officeDocument/2006/relationships/hyperlink" Target="mailto:jetsabelth.m@gmail.com" TargetMode="External"/><Relationship Id="rId16" Type="http://schemas.openxmlformats.org/officeDocument/2006/relationships/hyperlink" Target="mailto:vcarvajalcadavid@gmail.com" TargetMode="External"/><Relationship Id="rId20" Type="http://schemas.openxmlformats.org/officeDocument/2006/relationships/hyperlink" Target="mailto:juridica.juliansandoval@gmail.com" TargetMode="External"/><Relationship Id="rId1" Type="http://schemas.openxmlformats.org/officeDocument/2006/relationships/hyperlink" Target="mailto:tefip09@hotmail.com" TargetMode="External"/><Relationship Id="rId6" Type="http://schemas.openxmlformats.org/officeDocument/2006/relationships/hyperlink" Target="mailto:maoricio.or1979@gmail.com" TargetMode="External"/><Relationship Id="rId11" Type="http://schemas.openxmlformats.org/officeDocument/2006/relationships/hyperlink" Target="mailto:mafer.renteria@hotmail.com" TargetMode="External"/><Relationship Id="rId5" Type="http://schemas.openxmlformats.org/officeDocument/2006/relationships/hyperlink" Target="mailto:sahiraor83@gmail.com" TargetMode="External"/><Relationship Id="rId15" Type="http://schemas.openxmlformats.org/officeDocument/2006/relationships/hyperlink" Target="mailto:andreab-a@hotmail.com" TargetMode="External"/><Relationship Id="rId10" Type="http://schemas.openxmlformats.org/officeDocument/2006/relationships/hyperlink" Target="mailto:cindyci17@hotmail.com" TargetMode="External"/><Relationship Id="rId19" Type="http://schemas.openxmlformats.org/officeDocument/2006/relationships/hyperlink" Target="mailto:elizalopez2021@gmail.com" TargetMode="External"/><Relationship Id="rId4" Type="http://schemas.openxmlformats.org/officeDocument/2006/relationships/hyperlink" Target="mailto:yese.villarreal@hotmail.com" TargetMode="External"/><Relationship Id="rId9" Type="http://schemas.openxmlformats.org/officeDocument/2006/relationships/hyperlink" Target="mailto:herrerariascos_7@hotmail.com" TargetMode="External"/><Relationship Id="rId14" Type="http://schemas.openxmlformats.org/officeDocument/2006/relationships/hyperlink" Target="mailto:carmenmoreno.abogada@gmail.com" TargetMode="External"/><Relationship Id="rId22" Type="http://schemas.openxmlformats.org/officeDocument/2006/relationships/hyperlink" Target="mailto:herreraangelica121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M83"/>
  <sheetViews>
    <sheetView tabSelected="1" workbookViewId="0">
      <pane ySplit="1" topLeftCell="A2" activePane="bottomLeft" state="frozen"/>
      <selection pane="bottomLeft" activeCell="A2" sqref="A2"/>
    </sheetView>
  </sheetViews>
  <sheetFormatPr baseColWidth="10" defaultColWidth="11.25" defaultRowHeight="15" customHeight="1" x14ac:dyDescent="0.25"/>
  <cols>
    <col min="1" max="1" width="13.125" customWidth="1"/>
    <col min="2" max="2" width="18.25" customWidth="1"/>
    <col min="3" max="3" width="15.25" customWidth="1"/>
    <col min="4" max="4" width="15.125" customWidth="1"/>
    <col min="5" max="5" width="19.25" customWidth="1"/>
    <col min="6" max="6" width="13.25" customWidth="1"/>
    <col min="8" max="8" width="19.125" customWidth="1"/>
    <col min="9" max="9" width="15.875" customWidth="1"/>
    <col min="10" max="10" width="18.875" customWidth="1"/>
    <col min="11" max="11" width="15.25" customWidth="1"/>
    <col min="12" max="12" width="21.25" customWidth="1"/>
    <col min="13" max="13" width="20.125" customWidth="1"/>
    <col min="14" max="16" width="17.125" customWidth="1"/>
    <col min="17" max="17" width="19.75" customWidth="1"/>
    <col min="18" max="18" width="21.125" customWidth="1"/>
    <col min="19" max="19" width="19.25" customWidth="1"/>
    <col min="20" max="20" width="16.875" customWidth="1"/>
    <col min="21" max="21" width="12.375" customWidth="1"/>
    <col min="22" max="22" width="13.75" customWidth="1"/>
    <col min="23" max="23" width="19.25" customWidth="1"/>
    <col min="24" max="24" width="14.75" customWidth="1"/>
    <col min="25" max="25" width="13.25" customWidth="1"/>
    <col min="26" max="26" width="13.75" customWidth="1"/>
    <col min="27" max="27" width="9.125" customWidth="1"/>
    <col min="28" max="28" width="9.25" customWidth="1"/>
    <col min="29" max="29" width="19.25" customWidth="1"/>
    <col min="30" max="30" width="11.375" customWidth="1"/>
    <col min="31" max="31" width="15.25" customWidth="1"/>
    <col min="32" max="32" width="7.25" customWidth="1"/>
    <col min="33" max="33" width="6.25" customWidth="1"/>
    <col min="34" max="34" width="18.125" customWidth="1"/>
    <col min="35" max="35" width="19" customWidth="1"/>
    <col min="36" max="36" width="26.75" customWidth="1"/>
    <col min="37" max="37" width="19.875" customWidth="1"/>
    <col min="38" max="38" width="6" customWidth="1"/>
    <col min="39" max="39" width="9.75" customWidth="1"/>
    <col min="40" max="40" width="13" customWidth="1"/>
    <col min="41" max="41" width="15.25" customWidth="1"/>
    <col min="42" max="42" width="20.125" customWidth="1"/>
    <col min="43" max="43" width="10.75" customWidth="1"/>
    <col min="44" max="44" width="17.25" customWidth="1"/>
    <col min="45" max="45" width="19.25" customWidth="1"/>
    <col min="46" max="46" width="17.75" customWidth="1"/>
    <col min="47" max="47" width="34" customWidth="1"/>
    <col min="48" max="48" width="27.875" customWidth="1"/>
    <col min="49" max="49" width="11.75" customWidth="1"/>
    <col min="50" max="50" width="19.375" customWidth="1"/>
    <col min="51" max="51" width="14.25" customWidth="1"/>
    <col min="52" max="53" width="12.25" customWidth="1"/>
    <col min="54" max="55" width="12.75" customWidth="1"/>
    <col min="56" max="56" width="7.75" customWidth="1"/>
    <col min="57" max="57" width="7.25" customWidth="1"/>
    <col min="58" max="58" width="24.25" customWidth="1"/>
    <col min="59" max="59" width="12.75" customWidth="1"/>
    <col min="60" max="64" width="14" customWidth="1"/>
    <col min="65" max="65" width="14.25" customWidth="1"/>
    <col min="66" max="67" width="15.25" customWidth="1"/>
    <col min="68" max="68" width="12.875" customWidth="1"/>
    <col min="69" max="69" width="16.25" customWidth="1"/>
    <col min="70" max="70" width="21.25" customWidth="1"/>
    <col min="71" max="71" width="25.75" customWidth="1"/>
    <col min="72" max="72" width="16.25" customWidth="1"/>
    <col min="73" max="73" width="14.25" customWidth="1"/>
    <col min="74" max="74" width="15.875" customWidth="1"/>
    <col min="75" max="75" width="17.75" customWidth="1"/>
    <col min="76" max="76" width="18.125" customWidth="1"/>
    <col min="77" max="77" width="8.875" customWidth="1"/>
    <col min="78" max="78" width="13.5" customWidth="1"/>
    <col min="79" max="83" width="18.125" customWidth="1"/>
    <col min="84" max="84" width="36.125" customWidth="1"/>
    <col min="85" max="85" width="23.25" customWidth="1"/>
    <col min="86" max="86" width="22" customWidth="1"/>
    <col min="87" max="87" width="12.25" customWidth="1"/>
    <col min="88" max="90" width="10.25" customWidth="1"/>
    <col min="91" max="91" width="25.125" customWidth="1"/>
  </cols>
  <sheetData>
    <row r="1" spans="1:91" ht="7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1" t="s">
        <v>15</v>
      </c>
      <c r="Q1" s="1" t="s">
        <v>16</v>
      </c>
      <c r="R1" s="1" t="s">
        <v>17</v>
      </c>
      <c r="S1" s="1" t="s">
        <v>18</v>
      </c>
      <c r="T1" s="1" t="s">
        <v>19</v>
      </c>
      <c r="U1" s="1" t="s">
        <v>20</v>
      </c>
      <c r="V1" s="3" t="s">
        <v>21</v>
      </c>
      <c r="W1" s="1" t="s">
        <v>22</v>
      </c>
      <c r="X1" s="4" t="s">
        <v>23</v>
      </c>
      <c r="Y1" s="5" t="s">
        <v>24</v>
      </c>
      <c r="Z1" s="1" t="s">
        <v>25</v>
      </c>
      <c r="AA1" s="1" t="s">
        <v>26</v>
      </c>
      <c r="AB1" s="6" t="s">
        <v>27</v>
      </c>
      <c r="AC1" s="1" t="s">
        <v>28</v>
      </c>
      <c r="AD1" s="1" t="s">
        <v>29</v>
      </c>
      <c r="AE1" s="1" t="s">
        <v>30</v>
      </c>
      <c r="AF1" s="1" t="s">
        <v>31</v>
      </c>
      <c r="AG1" s="1" t="s">
        <v>32</v>
      </c>
      <c r="AH1" s="1" t="s">
        <v>33</v>
      </c>
      <c r="AI1" s="7" t="s">
        <v>34</v>
      </c>
      <c r="AJ1" s="1" t="s">
        <v>35</v>
      </c>
      <c r="AK1" s="8" t="s">
        <v>36</v>
      </c>
      <c r="AL1" s="1" t="s">
        <v>37</v>
      </c>
      <c r="AM1" s="8" t="s">
        <v>38</v>
      </c>
      <c r="AN1" s="9" t="s">
        <v>39</v>
      </c>
      <c r="AO1" s="7" t="s">
        <v>40</v>
      </c>
      <c r="AP1" s="10" t="s">
        <v>41</v>
      </c>
      <c r="AQ1" s="1" t="s">
        <v>42</v>
      </c>
      <c r="AR1" s="1" t="s">
        <v>43</v>
      </c>
      <c r="AS1" s="1" t="s">
        <v>44</v>
      </c>
      <c r="AT1" s="1" t="s">
        <v>45</v>
      </c>
      <c r="AU1" s="11" t="s">
        <v>46</v>
      </c>
      <c r="AV1" s="11" t="s">
        <v>47</v>
      </c>
      <c r="AW1" s="1" t="s">
        <v>48</v>
      </c>
      <c r="AX1" s="1" t="s">
        <v>49</v>
      </c>
      <c r="AY1" s="12" t="s">
        <v>50</v>
      </c>
      <c r="AZ1" s="13" t="s">
        <v>51</v>
      </c>
      <c r="BA1" s="14" t="s">
        <v>52</v>
      </c>
      <c r="BB1" s="13" t="s">
        <v>53</v>
      </c>
      <c r="BC1" s="14" t="s">
        <v>54</v>
      </c>
      <c r="BD1" s="1" t="s">
        <v>55</v>
      </c>
      <c r="BE1" s="1" t="s">
        <v>56</v>
      </c>
      <c r="BF1" s="7" t="s">
        <v>57</v>
      </c>
      <c r="BG1" s="15" t="s">
        <v>58</v>
      </c>
      <c r="BH1" s="13" t="s">
        <v>59</v>
      </c>
      <c r="BI1" s="13" t="s">
        <v>60</v>
      </c>
      <c r="BJ1" s="13" t="s">
        <v>61</v>
      </c>
      <c r="BK1" s="13" t="s">
        <v>62</v>
      </c>
      <c r="BL1" s="1" t="s">
        <v>63</v>
      </c>
      <c r="BM1" s="1" t="s">
        <v>64</v>
      </c>
      <c r="BN1" s="1" t="s">
        <v>65</v>
      </c>
      <c r="BO1" s="1" t="s">
        <v>66</v>
      </c>
      <c r="BP1" s="1" t="s">
        <v>67</v>
      </c>
      <c r="BQ1" s="7" t="s">
        <v>68</v>
      </c>
      <c r="BR1" s="7" t="s">
        <v>69</v>
      </c>
      <c r="BS1" s="16" t="s">
        <v>70</v>
      </c>
      <c r="BT1" s="7" t="s">
        <v>71</v>
      </c>
      <c r="BU1" s="7" t="s">
        <v>72</v>
      </c>
      <c r="BV1" s="7" t="s">
        <v>73</v>
      </c>
      <c r="BW1" s="7" t="s">
        <v>74</v>
      </c>
      <c r="BX1" s="7" t="s">
        <v>75</v>
      </c>
      <c r="BY1" s="17" t="s">
        <v>76</v>
      </c>
      <c r="BZ1" s="17" t="s">
        <v>77</v>
      </c>
      <c r="CA1" s="17" t="s">
        <v>78</v>
      </c>
      <c r="CB1" s="17" t="s">
        <v>79</v>
      </c>
      <c r="CC1" s="17" t="s">
        <v>80</v>
      </c>
      <c r="CD1" s="17" t="s">
        <v>81</v>
      </c>
      <c r="CE1" s="18" t="s">
        <v>82</v>
      </c>
      <c r="CF1" s="1" t="s">
        <v>83</v>
      </c>
      <c r="CG1" s="7" t="s">
        <v>84</v>
      </c>
      <c r="CH1" s="1" t="s">
        <v>85</v>
      </c>
      <c r="CI1" s="7" t="s">
        <v>86</v>
      </c>
      <c r="CJ1" s="7" t="s">
        <v>87</v>
      </c>
      <c r="CK1" s="7" t="s">
        <v>88</v>
      </c>
      <c r="CL1" s="7" t="s">
        <v>89</v>
      </c>
      <c r="CM1" s="19" t="s">
        <v>90</v>
      </c>
    </row>
    <row r="2" spans="1:91" ht="33" customHeight="1" x14ac:dyDescent="0.25">
      <c r="A2" s="20" t="s">
        <v>91</v>
      </c>
      <c r="B2" s="21" t="s">
        <v>92</v>
      </c>
      <c r="C2" s="21" t="s">
        <v>93</v>
      </c>
      <c r="D2" s="22" t="s">
        <v>94</v>
      </c>
      <c r="E2" s="23" t="s">
        <v>95</v>
      </c>
      <c r="F2" s="24" t="s">
        <v>96</v>
      </c>
      <c r="G2" s="25" t="s">
        <v>97</v>
      </c>
      <c r="H2" s="21" t="s">
        <v>98</v>
      </c>
      <c r="I2" s="23" t="s">
        <v>99</v>
      </c>
      <c r="J2" s="21" t="s">
        <v>93</v>
      </c>
      <c r="K2" s="23" t="s">
        <v>95</v>
      </c>
      <c r="L2" s="26" t="s">
        <v>100</v>
      </c>
      <c r="M2" s="27" t="s">
        <v>99</v>
      </c>
      <c r="N2" s="28"/>
      <c r="O2" s="28"/>
      <c r="P2" s="28" t="s">
        <v>101</v>
      </c>
      <c r="Q2" s="28"/>
      <c r="R2" s="29"/>
      <c r="S2" s="30"/>
      <c r="T2" s="31"/>
      <c r="U2" s="32" t="s">
        <v>102</v>
      </c>
      <c r="V2" s="33">
        <v>3700028004</v>
      </c>
      <c r="W2" s="34">
        <v>46027</v>
      </c>
      <c r="X2" s="35">
        <v>1531992000</v>
      </c>
      <c r="Y2" s="31" t="s">
        <v>103</v>
      </c>
      <c r="Z2" s="36" t="s">
        <v>104</v>
      </c>
      <c r="AA2" s="37">
        <v>20115</v>
      </c>
      <c r="AB2" s="38" t="s">
        <v>105</v>
      </c>
      <c r="AC2" s="39" t="s">
        <v>106</v>
      </c>
      <c r="AD2" s="40" t="s">
        <v>107</v>
      </c>
      <c r="AE2" s="41" t="s">
        <v>108</v>
      </c>
      <c r="AF2" s="33" t="s">
        <v>102</v>
      </c>
      <c r="AG2" s="33"/>
      <c r="AH2" s="33" t="s">
        <v>109</v>
      </c>
      <c r="AI2" s="37" t="s">
        <v>110</v>
      </c>
      <c r="AJ2" s="42" t="s">
        <v>111</v>
      </c>
      <c r="AK2" s="43" t="s">
        <v>112</v>
      </c>
      <c r="AL2" s="44">
        <v>9</v>
      </c>
      <c r="AM2" s="33"/>
      <c r="AN2" s="45" t="s">
        <v>113</v>
      </c>
      <c r="AO2" s="46" t="s">
        <v>114</v>
      </c>
      <c r="AP2" s="46" t="s">
        <v>115</v>
      </c>
      <c r="AQ2" s="47" t="s">
        <v>116</v>
      </c>
      <c r="AR2" s="47" t="s">
        <v>117</v>
      </c>
      <c r="AS2" s="48" t="s">
        <v>118</v>
      </c>
      <c r="AT2" s="49" t="s">
        <v>119</v>
      </c>
      <c r="AU2" s="50" t="s">
        <v>120</v>
      </c>
      <c r="AV2" s="51" t="s">
        <v>121</v>
      </c>
      <c r="AW2" s="52" t="s">
        <v>122</v>
      </c>
      <c r="AX2" s="53" t="s">
        <v>123</v>
      </c>
      <c r="AY2" s="54">
        <f t="shared" ref="AY2:AY77" si="0">BG2*BE2</f>
        <v>46956000</v>
      </c>
      <c r="AZ2" s="55"/>
      <c r="BA2" s="55"/>
      <c r="BB2" s="55"/>
      <c r="BC2" s="55"/>
      <c r="BD2" s="33" t="s">
        <v>124</v>
      </c>
      <c r="BE2" s="33">
        <v>6</v>
      </c>
      <c r="BF2" s="52" t="s">
        <v>125</v>
      </c>
      <c r="BG2" s="56">
        <v>7826000</v>
      </c>
      <c r="BH2" s="57"/>
      <c r="BI2" s="57"/>
      <c r="BJ2" s="57"/>
      <c r="BK2" s="57"/>
      <c r="BL2" s="57"/>
      <c r="BM2" s="58"/>
      <c r="BN2" s="21" t="s">
        <v>93</v>
      </c>
      <c r="BO2" s="21" t="s">
        <v>95</v>
      </c>
      <c r="BP2" s="31">
        <v>29180813</v>
      </c>
      <c r="BQ2" s="52"/>
      <c r="BR2" s="21" t="s">
        <v>126</v>
      </c>
      <c r="BS2" s="59" t="s">
        <v>127</v>
      </c>
      <c r="BT2" s="60">
        <v>46028</v>
      </c>
      <c r="BU2" s="61">
        <v>4500395980</v>
      </c>
      <c r="BV2" s="62">
        <v>46028</v>
      </c>
      <c r="BW2" s="63">
        <v>46028</v>
      </c>
      <c r="BX2" s="60">
        <v>46028</v>
      </c>
      <c r="BY2" s="64"/>
      <c r="BZ2" s="65">
        <v>2</v>
      </c>
      <c r="CA2" s="64"/>
      <c r="CB2" s="66">
        <f>BZ2*BG2</f>
        <v>15652000</v>
      </c>
      <c r="CC2" s="64"/>
      <c r="CD2" s="64"/>
      <c r="CE2" s="67" t="s">
        <v>128</v>
      </c>
      <c r="CF2" s="68" t="s">
        <v>129</v>
      </c>
      <c r="CG2" s="69" t="s">
        <v>130</v>
      </c>
      <c r="CH2" s="33">
        <v>3117608787</v>
      </c>
      <c r="CI2" s="70" t="s">
        <v>131</v>
      </c>
      <c r="CJ2" s="70">
        <v>9</v>
      </c>
      <c r="CK2" s="70">
        <v>11</v>
      </c>
      <c r="CL2" s="70">
        <v>1993</v>
      </c>
      <c r="CM2" s="71">
        <f t="shared" ref="CM2:CM5" si="1">2024-CL2</f>
        <v>31</v>
      </c>
    </row>
    <row r="3" spans="1:91" ht="33" customHeight="1" x14ac:dyDescent="0.25">
      <c r="A3" s="20" t="s">
        <v>91</v>
      </c>
      <c r="B3" s="21" t="s">
        <v>92</v>
      </c>
      <c r="C3" s="21" t="s">
        <v>93</v>
      </c>
      <c r="D3" s="22" t="s">
        <v>94</v>
      </c>
      <c r="E3" s="23" t="s">
        <v>95</v>
      </c>
      <c r="F3" s="24" t="s">
        <v>96</v>
      </c>
      <c r="G3" s="25" t="s">
        <v>97</v>
      </c>
      <c r="H3" s="21" t="s">
        <v>98</v>
      </c>
      <c r="I3" s="21" t="s">
        <v>99</v>
      </c>
      <c r="J3" s="21" t="s">
        <v>93</v>
      </c>
      <c r="K3" s="23" t="s">
        <v>95</v>
      </c>
      <c r="L3" s="72" t="s">
        <v>100</v>
      </c>
      <c r="M3" s="27" t="s">
        <v>99</v>
      </c>
      <c r="N3" s="28"/>
      <c r="O3" s="28"/>
      <c r="P3" s="28" t="s">
        <v>101</v>
      </c>
      <c r="Q3" s="28"/>
      <c r="R3" s="73"/>
      <c r="S3" s="74"/>
      <c r="T3" s="31"/>
      <c r="U3" s="75" t="s">
        <v>102</v>
      </c>
      <c r="V3" s="33">
        <v>3700028004</v>
      </c>
      <c r="W3" s="34">
        <v>46027</v>
      </c>
      <c r="X3" s="35">
        <v>1531992000</v>
      </c>
      <c r="Y3" s="31" t="s">
        <v>103</v>
      </c>
      <c r="Z3" s="36" t="s">
        <v>104</v>
      </c>
      <c r="AA3" s="37">
        <v>20115</v>
      </c>
      <c r="AB3" s="38" t="s">
        <v>105</v>
      </c>
      <c r="AC3" s="39" t="s">
        <v>106</v>
      </c>
      <c r="AD3" s="76" t="s">
        <v>107</v>
      </c>
      <c r="AE3" s="41" t="s">
        <v>108</v>
      </c>
      <c r="AF3" s="33" t="s">
        <v>102</v>
      </c>
      <c r="AG3" s="33"/>
      <c r="AH3" s="33" t="s">
        <v>132</v>
      </c>
      <c r="AI3" s="37" t="s">
        <v>133</v>
      </c>
      <c r="AJ3" s="77" t="s">
        <v>134</v>
      </c>
      <c r="AK3" s="78" t="s">
        <v>135</v>
      </c>
      <c r="AL3" s="79"/>
      <c r="AM3" s="80"/>
      <c r="AN3" s="45" t="s">
        <v>113</v>
      </c>
      <c r="AO3" s="46" t="s">
        <v>136</v>
      </c>
      <c r="AP3" s="46" t="s">
        <v>137</v>
      </c>
      <c r="AQ3" s="47" t="s">
        <v>116</v>
      </c>
      <c r="AR3" s="81" t="s">
        <v>138</v>
      </c>
      <c r="AS3" s="82" t="s">
        <v>139</v>
      </c>
      <c r="AT3" s="83" t="s">
        <v>140</v>
      </c>
      <c r="AU3" s="83" t="s">
        <v>141</v>
      </c>
      <c r="AV3" s="83" t="s">
        <v>142</v>
      </c>
      <c r="AW3" s="52" t="s">
        <v>122</v>
      </c>
      <c r="AX3" s="21" t="s">
        <v>143</v>
      </c>
      <c r="AY3" s="54">
        <f t="shared" si="0"/>
        <v>62244000</v>
      </c>
      <c r="AZ3" s="84"/>
      <c r="BA3" s="84"/>
      <c r="BB3" s="84"/>
      <c r="BC3" s="84"/>
      <c r="BD3" s="33" t="s">
        <v>124</v>
      </c>
      <c r="BE3" s="33">
        <v>6</v>
      </c>
      <c r="BF3" s="52" t="s">
        <v>144</v>
      </c>
      <c r="BG3" s="56">
        <v>10374000</v>
      </c>
      <c r="BH3" s="57"/>
      <c r="BI3" s="57"/>
      <c r="BJ3" s="57"/>
      <c r="BK3" s="57"/>
      <c r="BL3" s="57"/>
      <c r="BM3" s="58"/>
      <c r="BN3" s="21" t="s">
        <v>93</v>
      </c>
      <c r="BO3" s="21" t="s">
        <v>95</v>
      </c>
      <c r="BP3" s="31">
        <v>29180813</v>
      </c>
      <c r="BQ3" s="52"/>
      <c r="BR3" s="21" t="s">
        <v>126</v>
      </c>
      <c r="BS3" s="59" t="s">
        <v>145</v>
      </c>
      <c r="BT3" s="60">
        <v>46038</v>
      </c>
      <c r="BU3" s="85">
        <v>4500402396</v>
      </c>
      <c r="BV3" s="62">
        <v>46038</v>
      </c>
      <c r="BW3" s="63">
        <v>46036</v>
      </c>
      <c r="BX3" s="60">
        <v>46038</v>
      </c>
      <c r="BY3" s="86"/>
      <c r="BZ3" s="86"/>
      <c r="CA3" s="86"/>
      <c r="CB3" s="86"/>
      <c r="CC3" s="86"/>
      <c r="CD3" s="86"/>
      <c r="CE3" s="87" t="s">
        <v>146</v>
      </c>
      <c r="CF3" s="33" t="s">
        <v>147</v>
      </c>
      <c r="CG3" s="88" t="s">
        <v>148</v>
      </c>
      <c r="CH3" s="33">
        <v>3164747578</v>
      </c>
      <c r="CI3" s="89" t="s">
        <v>149</v>
      </c>
      <c r="CJ3" s="71">
        <v>9</v>
      </c>
      <c r="CK3" s="71">
        <v>4</v>
      </c>
      <c r="CL3" s="71">
        <v>1981</v>
      </c>
      <c r="CM3" s="71">
        <f t="shared" si="1"/>
        <v>43</v>
      </c>
    </row>
    <row r="4" spans="1:91" ht="33" customHeight="1" x14ac:dyDescent="0.25">
      <c r="A4" s="20" t="s">
        <v>91</v>
      </c>
      <c r="B4" s="21" t="s">
        <v>92</v>
      </c>
      <c r="C4" s="21" t="s">
        <v>93</v>
      </c>
      <c r="D4" s="22" t="s">
        <v>94</v>
      </c>
      <c r="E4" s="23" t="s">
        <v>95</v>
      </c>
      <c r="F4" s="24" t="s">
        <v>96</v>
      </c>
      <c r="G4" s="25" t="s">
        <v>97</v>
      </c>
      <c r="H4" s="21" t="s">
        <v>98</v>
      </c>
      <c r="I4" s="21" t="s">
        <v>99</v>
      </c>
      <c r="J4" s="21" t="s">
        <v>93</v>
      </c>
      <c r="K4" s="23" t="s">
        <v>95</v>
      </c>
      <c r="L4" s="26" t="s">
        <v>100</v>
      </c>
      <c r="M4" s="27" t="s">
        <v>99</v>
      </c>
      <c r="N4" s="28"/>
      <c r="O4" s="28"/>
      <c r="P4" s="28" t="s">
        <v>150</v>
      </c>
      <c r="Q4" s="28"/>
      <c r="R4" s="29"/>
      <c r="S4" s="90"/>
      <c r="T4" s="31"/>
      <c r="U4" s="32" t="s">
        <v>102</v>
      </c>
      <c r="V4" s="33">
        <v>3700028004</v>
      </c>
      <c r="W4" s="34">
        <v>46027</v>
      </c>
      <c r="X4" s="35">
        <v>1531992000</v>
      </c>
      <c r="Y4" s="31" t="s">
        <v>103</v>
      </c>
      <c r="Z4" s="36" t="s">
        <v>104</v>
      </c>
      <c r="AA4" s="37">
        <v>20115</v>
      </c>
      <c r="AB4" s="38" t="s">
        <v>151</v>
      </c>
      <c r="AC4" s="39" t="s">
        <v>106</v>
      </c>
      <c r="AD4" s="40" t="s">
        <v>107</v>
      </c>
      <c r="AE4" s="91" t="s">
        <v>152</v>
      </c>
      <c r="AF4" s="33" t="s">
        <v>102</v>
      </c>
      <c r="AG4" s="33"/>
      <c r="AH4" s="33" t="s">
        <v>153</v>
      </c>
      <c r="AI4" s="37" t="s">
        <v>154</v>
      </c>
      <c r="AJ4" s="42" t="s">
        <v>155</v>
      </c>
      <c r="AK4" s="43" t="s">
        <v>156</v>
      </c>
      <c r="AL4" s="92">
        <v>1</v>
      </c>
      <c r="AM4" s="33"/>
      <c r="AN4" s="45" t="s">
        <v>113</v>
      </c>
      <c r="AO4" s="93" t="s">
        <v>157</v>
      </c>
      <c r="AP4" s="46" t="s">
        <v>158</v>
      </c>
      <c r="AQ4" s="47" t="s">
        <v>116</v>
      </c>
      <c r="AR4" s="47" t="s">
        <v>159</v>
      </c>
      <c r="AS4" s="94" t="s">
        <v>160</v>
      </c>
      <c r="AT4" s="83" t="s">
        <v>161</v>
      </c>
      <c r="AU4" s="25" t="s">
        <v>162</v>
      </c>
      <c r="AV4" s="51" t="s">
        <v>163</v>
      </c>
      <c r="AW4" s="52" t="s">
        <v>122</v>
      </c>
      <c r="AX4" s="21" t="s">
        <v>164</v>
      </c>
      <c r="AY4" s="54">
        <f t="shared" si="0"/>
        <v>37482000</v>
      </c>
      <c r="AZ4" s="84"/>
      <c r="BA4" s="84"/>
      <c r="BB4" s="84"/>
      <c r="BC4" s="84"/>
      <c r="BD4" s="33" t="s">
        <v>124</v>
      </c>
      <c r="BE4" s="33">
        <v>6</v>
      </c>
      <c r="BF4" s="52" t="s">
        <v>165</v>
      </c>
      <c r="BG4" s="95">
        <v>6247000</v>
      </c>
      <c r="BH4" s="57"/>
      <c r="BI4" s="57"/>
      <c r="BJ4" s="57"/>
      <c r="BK4" s="57"/>
      <c r="BL4" s="57"/>
      <c r="BM4" s="96"/>
      <c r="BN4" s="28" t="s">
        <v>100</v>
      </c>
      <c r="BO4" s="27" t="s">
        <v>99</v>
      </c>
      <c r="BP4" s="32">
        <v>29180813</v>
      </c>
      <c r="BQ4" s="52"/>
      <c r="BR4" s="21" t="s">
        <v>126</v>
      </c>
      <c r="BS4" s="59" t="s">
        <v>127</v>
      </c>
      <c r="BT4" s="60">
        <v>46029</v>
      </c>
      <c r="BU4" s="85">
        <v>4500397080</v>
      </c>
      <c r="BV4" s="62">
        <v>46031</v>
      </c>
      <c r="BW4" s="63">
        <v>46029</v>
      </c>
      <c r="BX4" s="60">
        <v>46031</v>
      </c>
      <c r="BY4" s="64"/>
      <c r="BZ4" s="64"/>
      <c r="CA4" s="64"/>
      <c r="CB4" s="64"/>
      <c r="CC4" s="64"/>
      <c r="CD4" s="64"/>
      <c r="CE4" s="67" t="s">
        <v>166</v>
      </c>
      <c r="CF4" s="68" t="s">
        <v>167</v>
      </c>
      <c r="CG4" s="69" t="s">
        <v>168</v>
      </c>
      <c r="CH4" s="33">
        <v>3152082162</v>
      </c>
      <c r="CI4" s="31" t="s">
        <v>169</v>
      </c>
      <c r="CJ4" s="70">
        <v>2</v>
      </c>
      <c r="CK4" s="70">
        <v>12</v>
      </c>
      <c r="CL4" s="70">
        <v>1985</v>
      </c>
      <c r="CM4" s="71">
        <f t="shared" si="1"/>
        <v>39</v>
      </c>
    </row>
    <row r="5" spans="1:91" ht="33" customHeight="1" x14ac:dyDescent="0.25">
      <c r="A5" s="20" t="s">
        <v>91</v>
      </c>
      <c r="B5" s="21" t="s">
        <v>92</v>
      </c>
      <c r="C5" s="21" t="s">
        <v>93</v>
      </c>
      <c r="D5" s="22" t="s">
        <v>94</v>
      </c>
      <c r="E5" s="23" t="s">
        <v>95</v>
      </c>
      <c r="F5" s="24" t="s">
        <v>96</v>
      </c>
      <c r="G5" s="25" t="s">
        <v>97</v>
      </c>
      <c r="H5" s="21" t="s">
        <v>98</v>
      </c>
      <c r="I5" s="21" t="s">
        <v>99</v>
      </c>
      <c r="J5" s="21" t="s">
        <v>93</v>
      </c>
      <c r="K5" s="23" t="s">
        <v>95</v>
      </c>
      <c r="L5" s="26" t="s">
        <v>100</v>
      </c>
      <c r="M5" s="27" t="s">
        <v>99</v>
      </c>
      <c r="N5" s="50"/>
      <c r="O5" s="50"/>
      <c r="P5" s="25" t="s">
        <v>150</v>
      </c>
      <c r="Q5" s="28"/>
      <c r="R5" s="29"/>
      <c r="S5" s="90"/>
      <c r="T5" s="31"/>
      <c r="U5" s="32" t="s">
        <v>102</v>
      </c>
      <c r="V5" s="33">
        <v>3700028004</v>
      </c>
      <c r="W5" s="34">
        <v>46027</v>
      </c>
      <c r="X5" s="35">
        <v>1531992000</v>
      </c>
      <c r="Y5" s="31" t="s">
        <v>103</v>
      </c>
      <c r="Z5" s="36" t="s">
        <v>104</v>
      </c>
      <c r="AA5" s="37">
        <v>20115</v>
      </c>
      <c r="AB5" s="38" t="s">
        <v>170</v>
      </c>
      <c r="AC5" s="39" t="s">
        <v>106</v>
      </c>
      <c r="AD5" s="40" t="s">
        <v>107</v>
      </c>
      <c r="AE5" s="41" t="s">
        <v>108</v>
      </c>
      <c r="AF5" s="33" t="s">
        <v>102</v>
      </c>
      <c r="AG5" s="33"/>
      <c r="AH5" s="33" t="s">
        <v>171</v>
      </c>
      <c r="AI5" s="37" t="s">
        <v>172</v>
      </c>
      <c r="AJ5" s="42" t="s">
        <v>173</v>
      </c>
      <c r="AK5" s="43" t="s">
        <v>174</v>
      </c>
      <c r="AL5" s="92">
        <v>1</v>
      </c>
      <c r="AM5" s="33"/>
      <c r="AN5" s="45" t="s">
        <v>113</v>
      </c>
      <c r="AO5" s="46" t="s">
        <v>175</v>
      </c>
      <c r="AP5" s="46" t="s">
        <v>176</v>
      </c>
      <c r="AQ5" s="47" t="s">
        <v>116</v>
      </c>
      <c r="AR5" s="47" t="s">
        <v>177</v>
      </c>
      <c r="AS5" s="94" t="s">
        <v>178</v>
      </c>
      <c r="AT5" s="83" t="s">
        <v>179</v>
      </c>
      <c r="AU5" s="25" t="s">
        <v>180</v>
      </c>
      <c r="AV5" s="51" t="s">
        <v>181</v>
      </c>
      <c r="AW5" s="52" t="s">
        <v>122</v>
      </c>
      <c r="AX5" s="21" t="s">
        <v>164</v>
      </c>
      <c r="AY5" s="54">
        <f t="shared" si="0"/>
        <v>37482000</v>
      </c>
      <c r="AZ5" s="84"/>
      <c r="BA5" s="84"/>
      <c r="BB5" s="52"/>
      <c r="BC5" s="52"/>
      <c r="BD5" s="33" t="s">
        <v>124</v>
      </c>
      <c r="BE5" s="33">
        <v>6</v>
      </c>
      <c r="BF5" s="52" t="s">
        <v>165</v>
      </c>
      <c r="BG5" s="95">
        <v>6247000</v>
      </c>
      <c r="BH5" s="57"/>
      <c r="BI5" s="57"/>
      <c r="BJ5" s="57"/>
      <c r="BK5" s="57"/>
      <c r="BL5" s="57"/>
      <c r="BM5" s="58"/>
      <c r="BN5" s="28" t="s">
        <v>100</v>
      </c>
      <c r="BO5" s="27" t="s">
        <v>99</v>
      </c>
      <c r="BP5" s="32">
        <v>29180813</v>
      </c>
      <c r="BQ5" s="52"/>
      <c r="BR5" s="21" t="s">
        <v>126</v>
      </c>
      <c r="BS5" s="59" t="s">
        <v>127</v>
      </c>
      <c r="BT5" s="60">
        <v>46029</v>
      </c>
      <c r="BU5" s="85">
        <v>4500395983</v>
      </c>
      <c r="BV5" s="62">
        <v>46028</v>
      </c>
      <c r="BW5" s="63">
        <v>46029</v>
      </c>
      <c r="BX5" s="60">
        <v>46029</v>
      </c>
      <c r="BY5" s="64"/>
      <c r="BZ5" s="64"/>
      <c r="CA5" s="64"/>
      <c r="CB5" s="64"/>
      <c r="CC5" s="64"/>
      <c r="CD5" s="64"/>
      <c r="CE5" s="97" t="s">
        <v>182</v>
      </c>
      <c r="CF5" s="33" t="s">
        <v>183</v>
      </c>
      <c r="CG5" s="88" t="s">
        <v>184</v>
      </c>
      <c r="CH5" s="33">
        <v>3152355864</v>
      </c>
      <c r="CI5" s="31" t="s">
        <v>185</v>
      </c>
      <c r="CJ5" s="71">
        <v>22</v>
      </c>
      <c r="CK5" s="71">
        <v>8</v>
      </c>
      <c r="CL5" s="71">
        <v>1971</v>
      </c>
      <c r="CM5" s="71">
        <f t="shared" si="1"/>
        <v>53</v>
      </c>
    </row>
    <row r="6" spans="1:91" ht="33" customHeight="1" x14ac:dyDescent="0.25">
      <c r="A6" s="98" t="s">
        <v>91</v>
      </c>
      <c r="B6" s="99" t="s">
        <v>92</v>
      </c>
      <c r="C6" s="99" t="s">
        <v>93</v>
      </c>
      <c r="D6" s="39" t="s">
        <v>94</v>
      </c>
      <c r="E6" s="100" t="s">
        <v>95</v>
      </c>
      <c r="F6" s="101" t="s">
        <v>96</v>
      </c>
      <c r="G6" s="102" t="s">
        <v>97</v>
      </c>
      <c r="H6" s="21" t="s">
        <v>98</v>
      </c>
      <c r="I6" s="21" t="s">
        <v>99</v>
      </c>
      <c r="J6" s="21" t="s">
        <v>93</v>
      </c>
      <c r="K6" s="23" t="s">
        <v>95</v>
      </c>
      <c r="L6" s="26" t="s">
        <v>100</v>
      </c>
      <c r="M6" s="27" t="s">
        <v>99</v>
      </c>
      <c r="N6" s="103"/>
      <c r="O6" s="103"/>
      <c r="P6" s="104" t="s">
        <v>186</v>
      </c>
      <c r="Q6" s="104" t="s">
        <v>187</v>
      </c>
      <c r="R6" s="105" t="s">
        <v>188</v>
      </c>
      <c r="S6" s="106" t="s">
        <v>189</v>
      </c>
      <c r="T6" s="107" t="s">
        <v>102</v>
      </c>
      <c r="U6" s="108"/>
      <c r="V6" s="37">
        <v>3500254255</v>
      </c>
      <c r="W6" s="34">
        <v>46027</v>
      </c>
      <c r="X6" s="35">
        <v>1531992000</v>
      </c>
      <c r="Y6" s="31" t="s">
        <v>103</v>
      </c>
      <c r="Z6" s="39" t="s">
        <v>190</v>
      </c>
      <c r="AA6" s="37">
        <v>20124</v>
      </c>
      <c r="AB6" s="38" t="s">
        <v>105</v>
      </c>
      <c r="AC6" s="39" t="s">
        <v>106</v>
      </c>
      <c r="AD6" s="42" t="s">
        <v>107</v>
      </c>
      <c r="AE6" s="41" t="s">
        <v>108</v>
      </c>
      <c r="AF6" s="37" t="s">
        <v>102</v>
      </c>
      <c r="AG6" s="37"/>
      <c r="AH6" s="33" t="s">
        <v>191</v>
      </c>
      <c r="AI6" s="37" t="s">
        <v>192</v>
      </c>
      <c r="AJ6" s="42" t="s">
        <v>193</v>
      </c>
      <c r="AK6" s="109" t="s">
        <v>194</v>
      </c>
      <c r="AL6" s="110"/>
      <c r="AM6" s="51"/>
      <c r="AN6" s="45" t="s">
        <v>113</v>
      </c>
      <c r="AO6" s="102" t="s">
        <v>136</v>
      </c>
      <c r="AP6" s="102" t="s">
        <v>195</v>
      </c>
      <c r="AQ6" s="111" t="s">
        <v>116</v>
      </c>
      <c r="AR6" s="112" t="s">
        <v>196</v>
      </c>
      <c r="AS6" s="113" t="s">
        <v>197</v>
      </c>
      <c r="AT6" s="102" t="s">
        <v>119</v>
      </c>
      <c r="AU6" s="83" t="s">
        <v>198</v>
      </c>
      <c r="AV6" s="114" t="s">
        <v>199</v>
      </c>
      <c r="AW6" s="52" t="s">
        <v>122</v>
      </c>
      <c r="AX6" s="115" t="s">
        <v>123</v>
      </c>
      <c r="AY6" s="54">
        <f t="shared" si="0"/>
        <v>46956000</v>
      </c>
      <c r="AZ6" s="116"/>
      <c r="BA6" s="116"/>
      <c r="BB6" s="117"/>
      <c r="BC6" s="117"/>
      <c r="BD6" s="33" t="s">
        <v>124</v>
      </c>
      <c r="BE6" s="33">
        <v>6</v>
      </c>
      <c r="BF6" s="39" t="s">
        <v>200</v>
      </c>
      <c r="BG6" s="56">
        <v>7826000</v>
      </c>
      <c r="BH6" s="118"/>
      <c r="BI6" s="118"/>
      <c r="BJ6" s="118"/>
      <c r="BK6" s="118"/>
      <c r="BL6" s="118"/>
      <c r="BM6" s="119"/>
      <c r="BN6" s="120" t="s">
        <v>201</v>
      </c>
      <c r="BO6" s="99" t="s">
        <v>202</v>
      </c>
      <c r="BP6" s="33">
        <v>1098603026</v>
      </c>
      <c r="BQ6" s="39"/>
      <c r="BR6" s="21" t="s">
        <v>126</v>
      </c>
      <c r="BS6" s="59" t="s">
        <v>127</v>
      </c>
      <c r="BT6" s="60">
        <v>46028</v>
      </c>
      <c r="BU6" s="121">
        <v>4500396120</v>
      </c>
      <c r="BV6" s="62">
        <v>46029</v>
      </c>
      <c r="BW6" s="122">
        <v>46029</v>
      </c>
      <c r="BX6" s="60">
        <v>46029</v>
      </c>
      <c r="BY6" s="123"/>
      <c r="BZ6" s="123"/>
      <c r="CA6" s="123"/>
      <c r="CB6" s="123"/>
      <c r="CC6" s="123"/>
      <c r="CD6" s="123"/>
      <c r="CE6" s="124" t="s">
        <v>203</v>
      </c>
      <c r="CF6" s="125" t="s">
        <v>204</v>
      </c>
      <c r="CG6" s="126"/>
      <c r="CH6" s="127">
        <v>3218204259</v>
      </c>
      <c r="CI6" s="128"/>
      <c r="CJ6" s="128"/>
      <c r="CK6" s="128"/>
      <c r="CL6" s="128"/>
      <c r="CM6" s="128"/>
    </row>
    <row r="7" spans="1:91" ht="39.75" customHeight="1" x14ac:dyDescent="0.25">
      <c r="A7" s="98" t="s">
        <v>91</v>
      </c>
      <c r="B7" s="99" t="s">
        <v>92</v>
      </c>
      <c r="C7" s="99" t="s">
        <v>93</v>
      </c>
      <c r="D7" s="22" t="s">
        <v>94</v>
      </c>
      <c r="E7" s="100" t="s">
        <v>95</v>
      </c>
      <c r="F7" s="101" t="s">
        <v>96</v>
      </c>
      <c r="G7" s="102" t="s">
        <v>97</v>
      </c>
      <c r="H7" s="21" t="s">
        <v>98</v>
      </c>
      <c r="I7" s="21" t="s">
        <v>99</v>
      </c>
      <c r="J7" s="21" t="s">
        <v>93</v>
      </c>
      <c r="K7" s="23" t="s">
        <v>95</v>
      </c>
      <c r="L7" s="26" t="s">
        <v>100</v>
      </c>
      <c r="M7" s="27" t="s">
        <v>99</v>
      </c>
      <c r="N7" s="129"/>
      <c r="O7" s="129"/>
      <c r="P7" s="130" t="s">
        <v>150</v>
      </c>
      <c r="Q7" s="130"/>
      <c r="R7" s="130"/>
      <c r="S7" s="131"/>
      <c r="T7" s="37"/>
      <c r="U7" s="107" t="s">
        <v>102</v>
      </c>
      <c r="V7" s="33">
        <v>3700028004</v>
      </c>
      <c r="W7" s="34">
        <v>46027</v>
      </c>
      <c r="X7" s="35">
        <v>1531992000</v>
      </c>
      <c r="Y7" s="31" t="s">
        <v>103</v>
      </c>
      <c r="Z7" s="36" t="s">
        <v>104</v>
      </c>
      <c r="AA7" s="37">
        <v>20115</v>
      </c>
      <c r="AB7" s="38" t="s">
        <v>105</v>
      </c>
      <c r="AC7" s="39" t="s">
        <v>106</v>
      </c>
      <c r="AD7" s="40" t="s">
        <v>107</v>
      </c>
      <c r="AE7" s="41" t="s">
        <v>108</v>
      </c>
      <c r="AF7" s="37" t="s">
        <v>102</v>
      </c>
      <c r="AG7" s="37"/>
      <c r="AH7" s="33" t="s">
        <v>205</v>
      </c>
      <c r="AI7" s="37" t="s">
        <v>206</v>
      </c>
      <c r="AJ7" s="77" t="s">
        <v>207</v>
      </c>
      <c r="AK7" s="132" t="s">
        <v>208</v>
      </c>
      <c r="AL7" s="110">
        <v>0</v>
      </c>
      <c r="AM7" s="33"/>
      <c r="AN7" s="45" t="s">
        <v>113</v>
      </c>
      <c r="AO7" s="49" t="s">
        <v>136</v>
      </c>
      <c r="AP7" s="49" t="s">
        <v>209</v>
      </c>
      <c r="AQ7" s="112" t="s">
        <v>116</v>
      </c>
      <c r="AR7" s="112" t="s">
        <v>210</v>
      </c>
      <c r="AS7" s="82" t="s">
        <v>211</v>
      </c>
      <c r="AT7" s="49" t="s">
        <v>179</v>
      </c>
      <c r="AU7" s="49" t="s">
        <v>212</v>
      </c>
      <c r="AV7" s="102" t="s">
        <v>213</v>
      </c>
      <c r="AW7" s="52" t="s">
        <v>122</v>
      </c>
      <c r="AX7" s="21" t="s">
        <v>164</v>
      </c>
      <c r="AY7" s="54">
        <f t="shared" si="0"/>
        <v>37482000</v>
      </c>
      <c r="AZ7" s="133"/>
      <c r="BA7" s="133"/>
      <c r="BB7" s="133"/>
      <c r="BC7" s="133"/>
      <c r="BD7" s="33" t="s">
        <v>124</v>
      </c>
      <c r="BE7" s="33">
        <v>6</v>
      </c>
      <c r="BF7" s="52" t="s">
        <v>165</v>
      </c>
      <c r="BG7" s="56">
        <v>6247000</v>
      </c>
      <c r="BH7" s="37"/>
      <c r="BI7" s="37"/>
      <c r="BJ7" s="37"/>
      <c r="BK7" s="37"/>
      <c r="BL7" s="37"/>
      <c r="BM7" s="131"/>
      <c r="BN7" s="28" t="s">
        <v>100</v>
      </c>
      <c r="BO7" s="27" t="s">
        <v>99</v>
      </c>
      <c r="BP7" s="31">
        <v>29180813</v>
      </c>
      <c r="BQ7" s="52"/>
      <c r="BR7" s="21" t="s">
        <v>126</v>
      </c>
      <c r="BS7" s="59" t="s">
        <v>127</v>
      </c>
      <c r="BT7" s="134">
        <v>46029</v>
      </c>
      <c r="BU7" s="121">
        <v>4500396122</v>
      </c>
      <c r="BV7" s="135">
        <v>46029</v>
      </c>
      <c r="BW7" s="122">
        <v>46029</v>
      </c>
      <c r="BX7" s="134">
        <v>46029</v>
      </c>
      <c r="BY7" s="136"/>
      <c r="BZ7" s="136"/>
      <c r="CA7" s="136"/>
      <c r="CB7" s="136"/>
      <c r="CC7" s="136"/>
      <c r="CD7" s="136"/>
      <c r="CE7" s="137" t="s">
        <v>214</v>
      </c>
      <c r="CF7" s="37" t="s">
        <v>215</v>
      </c>
      <c r="CG7" s="138" t="s">
        <v>216</v>
      </c>
      <c r="CH7" s="37">
        <v>3007005013</v>
      </c>
      <c r="CI7" s="139" t="s">
        <v>131</v>
      </c>
      <c r="CJ7" s="139">
        <v>8</v>
      </c>
      <c r="CK7" s="139">
        <v>6</v>
      </c>
      <c r="CL7" s="139">
        <v>1992</v>
      </c>
      <c r="CM7" s="140">
        <f t="shared" ref="CM7:CM8" si="2">2024-CL7</f>
        <v>32</v>
      </c>
    </row>
    <row r="8" spans="1:91" ht="33" customHeight="1" x14ac:dyDescent="0.25">
      <c r="A8" s="20" t="s">
        <v>91</v>
      </c>
      <c r="B8" s="21" t="s">
        <v>92</v>
      </c>
      <c r="C8" s="21" t="s">
        <v>93</v>
      </c>
      <c r="D8" s="22" t="s">
        <v>94</v>
      </c>
      <c r="E8" s="23" t="s">
        <v>95</v>
      </c>
      <c r="F8" s="24" t="s">
        <v>96</v>
      </c>
      <c r="G8" s="25" t="s">
        <v>97</v>
      </c>
      <c r="H8" s="21" t="s">
        <v>98</v>
      </c>
      <c r="I8" s="23" t="s">
        <v>99</v>
      </c>
      <c r="J8" s="21" t="s">
        <v>93</v>
      </c>
      <c r="K8" s="23" t="s">
        <v>95</v>
      </c>
      <c r="L8" s="26" t="s">
        <v>100</v>
      </c>
      <c r="M8" s="27" t="s">
        <v>99</v>
      </c>
      <c r="N8" s="28"/>
      <c r="O8" s="28"/>
      <c r="P8" s="28" t="s">
        <v>150</v>
      </c>
      <c r="Q8" s="141"/>
      <c r="R8" s="141"/>
      <c r="S8" s="142"/>
      <c r="T8" s="75"/>
      <c r="U8" s="32" t="s">
        <v>102</v>
      </c>
      <c r="V8" s="33">
        <v>3700028004</v>
      </c>
      <c r="W8" s="34">
        <v>46027</v>
      </c>
      <c r="X8" s="35">
        <v>1531992000</v>
      </c>
      <c r="Y8" s="31" t="s">
        <v>103</v>
      </c>
      <c r="Z8" s="36" t="s">
        <v>217</v>
      </c>
      <c r="AA8" s="37">
        <v>20115</v>
      </c>
      <c r="AB8" s="38" t="s">
        <v>170</v>
      </c>
      <c r="AC8" s="39" t="s">
        <v>106</v>
      </c>
      <c r="AD8" s="40" t="s">
        <v>107</v>
      </c>
      <c r="AE8" s="91" t="s">
        <v>152</v>
      </c>
      <c r="AF8" s="33" t="s">
        <v>102</v>
      </c>
      <c r="AG8" s="33"/>
      <c r="AH8" s="33" t="s">
        <v>218</v>
      </c>
      <c r="AI8" s="37" t="s">
        <v>219</v>
      </c>
      <c r="AJ8" s="42" t="s">
        <v>220</v>
      </c>
      <c r="AK8" s="43" t="s">
        <v>221</v>
      </c>
      <c r="AL8" s="92">
        <v>0</v>
      </c>
      <c r="AM8" s="33"/>
      <c r="AN8" s="45" t="s">
        <v>113</v>
      </c>
      <c r="AO8" s="46" t="s">
        <v>222</v>
      </c>
      <c r="AP8" s="46" t="s">
        <v>223</v>
      </c>
      <c r="AQ8" s="47" t="s">
        <v>116</v>
      </c>
      <c r="AR8" s="143" t="s">
        <v>224</v>
      </c>
      <c r="AS8" s="144" t="s">
        <v>225</v>
      </c>
      <c r="AT8" s="49" t="s">
        <v>226</v>
      </c>
      <c r="AU8" s="50" t="s">
        <v>227</v>
      </c>
      <c r="AV8" s="51" t="s">
        <v>228</v>
      </c>
      <c r="AW8" s="52" t="s">
        <v>122</v>
      </c>
      <c r="AX8" s="21" t="s">
        <v>229</v>
      </c>
      <c r="AY8" s="54">
        <f t="shared" si="0"/>
        <v>33978000</v>
      </c>
      <c r="AZ8" s="84"/>
      <c r="BA8" s="84"/>
      <c r="BB8" s="84"/>
      <c r="BC8" s="84"/>
      <c r="BD8" s="33" t="s">
        <v>124</v>
      </c>
      <c r="BE8" s="33">
        <v>6</v>
      </c>
      <c r="BF8" s="52" t="s">
        <v>230</v>
      </c>
      <c r="BG8" s="56">
        <v>5663000</v>
      </c>
      <c r="BH8" s="57"/>
      <c r="BI8" s="57"/>
      <c r="BJ8" s="57"/>
      <c r="BK8" s="57"/>
      <c r="BL8" s="57"/>
      <c r="BM8" s="58"/>
      <c r="BN8" s="28" t="s">
        <v>100</v>
      </c>
      <c r="BO8" s="27" t="s">
        <v>99</v>
      </c>
      <c r="BP8" s="31">
        <v>29180813</v>
      </c>
      <c r="BQ8" s="52"/>
      <c r="BR8" s="21" t="s">
        <v>126</v>
      </c>
      <c r="BS8" s="59" t="s">
        <v>127</v>
      </c>
      <c r="BT8" s="60">
        <v>46028</v>
      </c>
      <c r="BU8" s="61">
        <v>4500395984</v>
      </c>
      <c r="BV8" s="62">
        <v>46028</v>
      </c>
      <c r="BW8" s="63">
        <v>46029</v>
      </c>
      <c r="BX8" s="60">
        <v>46029</v>
      </c>
      <c r="BY8" s="64"/>
      <c r="BZ8" s="64"/>
      <c r="CA8" s="64"/>
      <c r="CB8" s="64"/>
      <c r="CC8" s="64"/>
      <c r="CD8" s="64"/>
      <c r="CE8" s="67" t="s">
        <v>231</v>
      </c>
      <c r="CF8" s="145" t="s">
        <v>232</v>
      </c>
      <c r="CG8" s="69" t="s">
        <v>233</v>
      </c>
      <c r="CH8" s="33">
        <v>3188443124</v>
      </c>
      <c r="CI8" s="31" t="s">
        <v>169</v>
      </c>
      <c r="CJ8" s="70">
        <v>10</v>
      </c>
      <c r="CK8" s="70">
        <v>4</v>
      </c>
      <c r="CL8" s="70">
        <v>1977</v>
      </c>
      <c r="CM8" s="71">
        <f t="shared" si="2"/>
        <v>47</v>
      </c>
    </row>
    <row r="9" spans="1:91" ht="51" customHeight="1" x14ac:dyDescent="0.25">
      <c r="A9" s="20" t="s">
        <v>91</v>
      </c>
      <c r="B9" s="21" t="s">
        <v>92</v>
      </c>
      <c r="C9" s="21" t="s">
        <v>93</v>
      </c>
      <c r="D9" s="22" t="s">
        <v>94</v>
      </c>
      <c r="E9" s="23" t="s">
        <v>95</v>
      </c>
      <c r="F9" s="24" t="s">
        <v>96</v>
      </c>
      <c r="G9" s="25" t="s">
        <v>97</v>
      </c>
      <c r="H9" s="21" t="s">
        <v>98</v>
      </c>
      <c r="I9" s="23" t="s">
        <v>99</v>
      </c>
      <c r="J9" s="21" t="s">
        <v>93</v>
      </c>
      <c r="K9" s="23" t="s">
        <v>95</v>
      </c>
      <c r="L9" s="26" t="s">
        <v>100</v>
      </c>
      <c r="M9" s="27" t="s">
        <v>99</v>
      </c>
      <c r="N9" s="50"/>
      <c r="O9" s="50"/>
      <c r="P9" s="25" t="s">
        <v>150</v>
      </c>
      <c r="Q9" s="55"/>
      <c r="R9" s="146"/>
      <c r="S9" s="147"/>
      <c r="T9" s="33"/>
      <c r="U9" s="32" t="s">
        <v>102</v>
      </c>
      <c r="V9" s="33">
        <v>3700028004</v>
      </c>
      <c r="W9" s="34">
        <v>46027</v>
      </c>
      <c r="X9" s="35">
        <v>1531992000</v>
      </c>
      <c r="Y9" s="31" t="s">
        <v>103</v>
      </c>
      <c r="Z9" s="36" t="s">
        <v>104</v>
      </c>
      <c r="AA9" s="37">
        <v>20115</v>
      </c>
      <c r="AB9" s="38" t="s">
        <v>234</v>
      </c>
      <c r="AC9" s="39" t="s">
        <v>106</v>
      </c>
      <c r="AD9" s="42" t="s">
        <v>107</v>
      </c>
      <c r="AE9" s="91" t="s">
        <v>152</v>
      </c>
      <c r="AF9" s="33" t="s">
        <v>102</v>
      </c>
      <c r="AG9" s="33"/>
      <c r="AH9" s="33" t="s">
        <v>235</v>
      </c>
      <c r="AI9" s="37" t="s">
        <v>236</v>
      </c>
      <c r="AJ9" s="77" t="s">
        <v>237</v>
      </c>
      <c r="AK9" s="43" t="s">
        <v>238</v>
      </c>
      <c r="AL9" s="78">
        <v>9</v>
      </c>
      <c r="AM9" s="33"/>
      <c r="AN9" s="45" t="s">
        <v>113</v>
      </c>
      <c r="AO9" s="148" t="s">
        <v>239</v>
      </c>
      <c r="AP9" s="46" t="s">
        <v>240</v>
      </c>
      <c r="AQ9" s="143" t="s">
        <v>116</v>
      </c>
      <c r="AR9" s="143" t="s">
        <v>241</v>
      </c>
      <c r="AS9" s="49" t="s">
        <v>242</v>
      </c>
      <c r="AT9" s="49" t="s">
        <v>243</v>
      </c>
      <c r="AU9" s="28" t="s">
        <v>244</v>
      </c>
      <c r="AV9" s="51" t="s">
        <v>245</v>
      </c>
      <c r="AW9" s="52" t="s">
        <v>122</v>
      </c>
      <c r="AX9" s="21" t="s">
        <v>246</v>
      </c>
      <c r="AY9" s="54">
        <f t="shared" si="0"/>
        <v>28830000</v>
      </c>
      <c r="AZ9" s="84"/>
      <c r="BA9" s="84"/>
      <c r="BB9" s="84"/>
      <c r="BC9" s="84"/>
      <c r="BD9" s="33" t="s">
        <v>124</v>
      </c>
      <c r="BE9" s="33">
        <v>6</v>
      </c>
      <c r="BF9" s="52" t="s">
        <v>247</v>
      </c>
      <c r="BG9" s="56">
        <v>4805000</v>
      </c>
      <c r="BH9" s="57"/>
      <c r="BI9" s="57"/>
      <c r="BJ9" s="57"/>
      <c r="BK9" s="57"/>
      <c r="BL9" s="57"/>
      <c r="BM9" s="58"/>
      <c r="BN9" s="21" t="s">
        <v>93</v>
      </c>
      <c r="BO9" s="21" t="s">
        <v>95</v>
      </c>
      <c r="BP9" s="31">
        <v>29180813</v>
      </c>
      <c r="BQ9" s="52"/>
      <c r="BR9" s="21" t="s">
        <v>126</v>
      </c>
      <c r="BS9" s="59" t="s">
        <v>127</v>
      </c>
      <c r="BT9" s="60">
        <v>46035</v>
      </c>
      <c r="BU9" s="85">
        <v>4500399370</v>
      </c>
      <c r="BV9" s="62">
        <v>46035</v>
      </c>
      <c r="BW9" s="60">
        <v>46036</v>
      </c>
      <c r="BX9" s="60">
        <v>46036</v>
      </c>
      <c r="BY9" s="64"/>
      <c r="BZ9" s="64"/>
      <c r="CA9" s="64"/>
      <c r="CB9" s="64"/>
      <c r="CC9" s="64"/>
      <c r="CD9" s="64"/>
      <c r="CE9" s="149" t="s">
        <v>248</v>
      </c>
      <c r="CF9" s="145" t="s">
        <v>249</v>
      </c>
      <c r="CG9" s="150"/>
      <c r="CH9" s="151">
        <v>3186121679</v>
      </c>
      <c r="CI9" s="31"/>
      <c r="CJ9" s="70"/>
      <c r="CK9" s="70"/>
      <c r="CL9" s="70"/>
      <c r="CM9" s="71"/>
    </row>
    <row r="10" spans="1:91" ht="33" customHeight="1" x14ac:dyDescent="0.25">
      <c r="A10" s="20" t="s">
        <v>91</v>
      </c>
      <c r="B10" s="21" t="s">
        <v>92</v>
      </c>
      <c r="C10" s="21" t="s">
        <v>93</v>
      </c>
      <c r="D10" s="22" t="s">
        <v>94</v>
      </c>
      <c r="E10" s="23" t="s">
        <v>95</v>
      </c>
      <c r="F10" s="24" t="s">
        <v>96</v>
      </c>
      <c r="G10" s="25" t="s">
        <v>97</v>
      </c>
      <c r="H10" s="21" t="s">
        <v>98</v>
      </c>
      <c r="I10" s="23" t="s">
        <v>99</v>
      </c>
      <c r="J10" s="21" t="s">
        <v>93</v>
      </c>
      <c r="K10" s="23" t="s">
        <v>95</v>
      </c>
      <c r="L10" s="26" t="s">
        <v>100</v>
      </c>
      <c r="M10" s="27" t="s">
        <v>99</v>
      </c>
      <c r="N10" s="28"/>
      <c r="O10" s="28"/>
      <c r="P10" s="28" t="s">
        <v>150</v>
      </c>
      <c r="Q10" s="141"/>
      <c r="R10" s="29"/>
      <c r="S10" s="147"/>
      <c r="T10" s="75"/>
      <c r="U10" s="32" t="s">
        <v>102</v>
      </c>
      <c r="V10" s="33">
        <v>3700028004</v>
      </c>
      <c r="W10" s="34">
        <v>46027</v>
      </c>
      <c r="X10" s="35">
        <v>1531992000</v>
      </c>
      <c r="Y10" s="31" t="s">
        <v>103</v>
      </c>
      <c r="Z10" s="36" t="s">
        <v>217</v>
      </c>
      <c r="AA10" s="37">
        <v>20115</v>
      </c>
      <c r="AB10" s="38" t="s">
        <v>250</v>
      </c>
      <c r="AC10" s="39" t="s">
        <v>251</v>
      </c>
      <c r="AD10" s="40" t="s">
        <v>252</v>
      </c>
      <c r="AE10" s="152" t="s">
        <v>253</v>
      </c>
      <c r="AF10" s="33"/>
      <c r="AG10" s="33" t="s">
        <v>102</v>
      </c>
      <c r="AH10" s="33" t="s">
        <v>254</v>
      </c>
      <c r="AI10" s="37" t="s">
        <v>255</v>
      </c>
      <c r="AJ10" s="42" t="s">
        <v>256</v>
      </c>
      <c r="AK10" s="43" t="s">
        <v>257</v>
      </c>
      <c r="AL10" s="92">
        <v>0</v>
      </c>
      <c r="AM10" s="33"/>
      <c r="AN10" s="45" t="s">
        <v>113</v>
      </c>
      <c r="AO10" s="46" t="s">
        <v>258</v>
      </c>
      <c r="AP10" s="46" t="s">
        <v>259</v>
      </c>
      <c r="AQ10" s="143" t="s">
        <v>260</v>
      </c>
      <c r="AR10" s="143" t="s">
        <v>260</v>
      </c>
      <c r="AS10" s="94" t="s">
        <v>261</v>
      </c>
      <c r="AT10" s="49" t="s">
        <v>262</v>
      </c>
      <c r="AU10" s="28" t="s">
        <v>263</v>
      </c>
      <c r="AV10" s="51" t="s">
        <v>264</v>
      </c>
      <c r="AW10" s="52" t="s">
        <v>122</v>
      </c>
      <c r="AX10" s="21" t="s">
        <v>265</v>
      </c>
      <c r="AY10" s="54">
        <f t="shared" si="0"/>
        <v>21306000</v>
      </c>
      <c r="AZ10" s="84"/>
      <c r="BA10" s="84"/>
      <c r="BB10" s="84"/>
      <c r="BC10" s="84"/>
      <c r="BD10" s="33" t="s">
        <v>124</v>
      </c>
      <c r="BE10" s="33">
        <v>6</v>
      </c>
      <c r="BF10" s="52" t="s">
        <v>266</v>
      </c>
      <c r="BG10" s="56">
        <v>3551000</v>
      </c>
      <c r="BH10" s="57"/>
      <c r="BI10" s="57"/>
      <c r="BJ10" s="57"/>
      <c r="BK10" s="57"/>
      <c r="BL10" s="57"/>
      <c r="BM10" s="58"/>
      <c r="BN10" s="21" t="s">
        <v>93</v>
      </c>
      <c r="BO10" s="21" t="s">
        <v>95</v>
      </c>
      <c r="BP10" s="31">
        <v>29180813</v>
      </c>
      <c r="BQ10" s="52"/>
      <c r="BR10" s="21" t="s">
        <v>126</v>
      </c>
      <c r="BS10" s="59" t="s">
        <v>127</v>
      </c>
      <c r="BT10" s="60">
        <v>46028</v>
      </c>
      <c r="BU10" s="121">
        <v>4500396126</v>
      </c>
      <c r="BV10" s="62">
        <v>46029</v>
      </c>
      <c r="BW10" s="60">
        <v>46029</v>
      </c>
      <c r="BX10" s="60">
        <v>46029</v>
      </c>
      <c r="BY10" s="64"/>
      <c r="BZ10" s="64"/>
      <c r="CA10" s="64"/>
      <c r="CB10" s="64"/>
      <c r="CC10" s="64"/>
      <c r="CD10" s="64"/>
      <c r="CE10" s="67" t="s">
        <v>267</v>
      </c>
      <c r="CF10" s="80" t="s">
        <v>268</v>
      </c>
      <c r="CG10" s="69" t="s">
        <v>269</v>
      </c>
      <c r="CH10" s="33">
        <v>3004752444</v>
      </c>
      <c r="CI10" s="70" t="s">
        <v>131</v>
      </c>
      <c r="CJ10" s="70">
        <v>8</v>
      </c>
      <c r="CK10" s="70">
        <v>9</v>
      </c>
      <c r="CL10" s="70">
        <v>1997</v>
      </c>
      <c r="CM10" s="71">
        <f t="shared" ref="CM10:CM16" si="3">2024-CL10</f>
        <v>27</v>
      </c>
    </row>
    <row r="11" spans="1:91" ht="33" customHeight="1" x14ac:dyDescent="0.25">
      <c r="A11" s="153" t="s">
        <v>91</v>
      </c>
      <c r="B11" s="154" t="s">
        <v>92</v>
      </c>
      <c r="C11" s="154" t="s">
        <v>93</v>
      </c>
      <c r="D11" s="155" t="s">
        <v>94</v>
      </c>
      <c r="E11" s="156" t="s">
        <v>95</v>
      </c>
      <c r="F11" s="157" t="s">
        <v>96</v>
      </c>
      <c r="G11" s="83" t="s">
        <v>97</v>
      </c>
      <c r="H11" s="154" t="s">
        <v>98</v>
      </c>
      <c r="I11" s="156" t="s">
        <v>99</v>
      </c>
      <c r="J11" s="154" t="s">
        <v>93</v>
      </c>
      <c r="K11" s="156" t="s">
        <v>95</v>
      </c>
      <c r="L11" s="158" t="s">
        <v>100</v>
      </c>
      <c r="M11" s="159" t="s">
        <v>99</v>
      </c>
      <c r="N11" s="160"/>
      <c r="O11" s="160"/>
      <c r="P11" s="49" t="s">
        <v>150</v>
      </c>
      <c r="Q11" s="161"/>
      <c r="R11" s="161"/>
      <c r="S11" s="162"/>
      <c r="T11" s="163"/>
      <c r="U11" s="164" t="s">
        <v>102</v>
      </c>
      <c r="V11" s="116">
        <v>3700028004</v>
      </c>
      <c r="W11" s="165">
        <v>46027</v>
      </c>
      <c r="X11" s="166">
        <v>1531992000</v>
      </c>
      <c r="Y11" s="167" t="s">
        <v>103</v>
      </c>
      <c r="Z11" s="168" t="s">
        <v>217</v>
      </c>
      <c r="AA11" s="116">
        <v>20115</v>
      </c>
      <c r="AB11" s="169" t="s">
        <v>234</v>
      </c>
      <c r="AC11" s="170" t="s">
        <v>251</v>
      </c>
      <c r="AD11" s="171" t="s">
        <v>252</v>
      </c>
      <c r="AE11" s="172" t="s">
        <v>253</v>
      </c>
      <c r="AF11" s="116"/>
      <c r="AG11" s="116" t="s">
        <v>102</v>
      </c>
      <c r="AH11" s="116" t="s">
        <v>270</v>
      </c>
      <c r="AI11" s="116" t="s">
        <v>271</v>
      </c>
      <c r="AJ11" s="77" t="s">
        <v>272</v>
      </c>
      <c r="AK11" s="173" t="s">
        <v>273</v>
      </c>
      <c r="AL11" s="174">
        <v>6</v>
      </c>
      <c r="AM11" s="80"/>
      <c r="AN11" s="45" t="s">
        <v>113</v>
      </c>
      <c r="AO11" s="49" t="s">
        <v>258</v>
      </c>
      <c r="AP11" s="49" t="s">
        <v>274</v>
      </c>
      <c r="AQ11" s="175" t="s">
        <v>260</v>
      </c>
      <c r="AR11" s="175" t="s">
        <v>260</v>
      </c>
      <c r="AS11" s="82" t="s">
        <v>275</v>
      </c>
      <c r="AT11" s="49" t="s">
        <v>262</v>
      </c>
      <c r="AU11" s="49" t="s">
        <v>276</v>
      </c>
      <c r="AV11" s="83" t="s">
        <v>277</v>
      </c>
      <c r="AW11" s="170" t="s">
        <v>122</v>
      </c>
      <c r="AX11" s="99" t="s">
        <v>265</v>
      </c>
      <c r="AY11" s="176">
        <f t="shared" si="0"/>
        <v>21306000</v>
      </c>
      <c r="AZ11" s="117"/>
      <c r="BA11" s="117"/>
      <c r="BB11" s="117"/>
      <c r="BC11" s="117"/>
      <c r="BD11" s="116" t="s">
        <v>124</v>
      </c>
      <c r="BE11" s="116">
        <v>6</v>
      </c>
      <c r="BF11" s="170" t="s">
        <v>266</v>
      </c>
      <c r="BG11" s="177">
        <v>3551000</v>
      </c>
      <c r="BH11" s="178"/>
      <c r="BI11" s="178"/>
      <c r="BJ11" s="178"/>
      <c r="BK11" s="178"/>
      <c r="BL11" s="178"/>
      <c r="BM11" s="179"/>
      <c r="BN11" s="154" t="s">
        <v>93</v>
      </c>
      <c r="BO11" s="154" t="s">
        <v>95</v>
      </c>
      <c r="BP11" s="31">
        <v>29180813</v>
      </c>
      <c r="BQ11" s="170"/>
      <c r="BR11" s="21" t="s">
        <v>126</v>
      </c>
      <c r="BS11" s="59" t="s">
        <v>127</v>
      </c>
      <c r="BT11" s="60">
        <v>46029</v>
      </c>
      <c r="BU11" s="121">
        <v>4500396128</v>
      </c>
      <c r="BV11" s="62">
        <v>46029</v>
      </c>
      <c r="BW11" s="60">
        <v>46029</v>
      </c>
      <c r="BX11" s="60">
        <v>46029</v>
      </c>
      <c r="BY11" s="64"/>
      <c r="BZ11" s="64"/>
      <c r="CA11" s="64"/>
      <c r="CB11" s="64"/>
      <c r="CC11" s="64"/>
      <c r="CD11" s="64"/>
      <c r="CE11" s="97" t="s">
        <v>278</v>
      </c>
      <c r="CF11" s="180" t="s">
        <v>279</v>
      </c>
      <c r="CG11" s="181" t="s">
        <v>280</v>
      </c>
      <c r="CH11" s="116">
        <v>3128397201</v>
      </c>
      <c r="CI11" s="167" t="s">
        <v>131</v>
      </c>
      <c r="CJ11" s="182">
        <v>26</v>
      </c>
      <c r="CK11" s="182">
        <v>11</v>
      </c>
      <c r="CL11" s="182">
        <v>1983</v>
      </c>
      <c r="CM11" s="182">
        <f t="shared" si="3"/>
        <v>41</v>
      </c>
    </row>
    <row r="12" spans="1:91" ht="33" customHeight="1" x14ac:dyDescent="0.25">
      <c r="A12" s="20" t="s">
        <v>91</v>
      </c>
      <c r="B12" s="21" t="s">
        <v>92</v>
      </c>
      <c r="C12" s="21" t="s">
        <v>93</v>
      </c>
      <c r="D12" s="22" t="s">
        <v>94</v>
      </c>
      <c r="E12" s="23" t="s">
        <v>95</v>
      </c>
      <c r="F12" s="24" t="s">
        <v>96</v>
      </c>
      <c r="G12" s="25" t="s">
        <v>97</v>
      </c>
      <c r="H12" s="88" t="s">
        <v>111</v>
      </c>
      <c r="I12" s="27" t="s">
        <v>281</v>
      </c>
      <c r="J12" s="21" t="s">
        <v>93</v>
      </c>
      <c r="K12" s="23" t="s">
        <v>95</v>
      </c>
      <c r="L12" s="26" t="s">
        <v>100</v>
      </c>
      <c r="M12" s="27" t="s">
        <v>99</v>
      </c>
      <c r="N12" s="28"/>
      <c r="O12" s="28"/>
      <c r="P12" s="28" t="s">
        <v>150</v>
      </c>
      <c r="Q12" s="28"/>
      <c r="R12" s="141"/>
      <c r="S12" s="141"/>
      <c r="T12" s="32"/>
      <c r="U12" s="32" t="s">
        <v>102</v>
      </c>
      <c r="V12" s="33">
        <v>3700028004</v>
      </c>
      <c r="W12" s="34">
        <v>46027</v>
      </c>
      <c r="X12" s="35">
        <v>1531992000</v>
      </c>
      <c r="Y12" s="31" t="s">
        <v>103</v>
      </c>
      <c r="Z12" s="36" t="s">
        <v>217</v>
      </c>
      <c r="AA12" s="37">
        <v>20115</v>
      </c>
      <c r="AB12" s="38" t="s">
        <v>234</v>
      </c>
      <c r="AC12" s="39" t="s">
        <v>251</v>
      </c>
      <c r="AD12" s="40" t="s">
        <v>252</v>
      </c>
      <c r="AE12" s="152" t="s">
        <v>282</v>
      </c>
      <c r="AF12" s="33"/>
      <c r="AG12" s="33" t="s">
        <v>102</v>
      </c>
      <c r="AH12" s="33" t="s">
        <v>283</v>
      </c>
      <c r="AI12" s="37" t="s">
        <v>284</v>
      </c>
      <c r="AJ12" s="42" t="s">
        <v>285</v>
      </c>
      <c r="AK12" s="43" t="s">
        <v>286</v>
      </c>
      <c r="AL12" s="78">
        <v>2</v>
      </c>
      <c r="AM12" s="33"/>
      <c r="AN12" s="45" t="s">
        <v>113</v>
      </c>
      <c r="AO12" s="46" t="s">
        <v>287</v>
      </c>
      <c r="AP12" s="46" t="s">
        <v>288</v>
      </c>
      <c r="AQ12" s="143" t="s">
        <v>260</v>
      </c>
      <c r="AR12" s="143" t="s">
        <v>260</v>
      </c>
      <c r="AS12" s="82" t="s">
        <v>289</v>
      </c>
      <c r="AT12" s="49" t="s">
        <v>290</v>
      </c>
      <c r="AU12" s="28" t="s">
        <v>291</v>
      </c>
      <c r="AV12" s="51" t="s">
        <v>292</v>
      </c>
      <c r="AW12" s="52" t="s">
        <v>122</v>
      </c>
      <c r="AX12" s="21" t="s">
        <v>293</v>
      </c>
      <c r="AY12" s="54">
        <f t="shared" si="0"/>
        <v>13626000</v>
      </c>
      <c r="AZ12" s="84"/>
      <c r="BA12" s="84"/>
      <c r="BB12" s="84"/>
      <c r="BC12" s="84"/>
      <c r="BD12" s="33" t="s">
        <v>124</v>
      </c>
      <c r="BE12" s="33">
        <v>6</v>
      </c>
      <c r="BF12" s="52" t="s">
        <v>294</v>
      </c>
      <c r="BG12" s="56">
        <v>2271000</v>
      </c>
      <c r="BH12" s="57"/>
      <c r="BI12" s="57"/>
      <c r="BJ12" s="57"/>
      <c r="BK12" s="57"/>
      <c r="BL12" s="57"/>
      <c r="BM12" s="58"/>
      <c r="BN12" s="28" t="s">
        <v>100</v>
      </c>
      <c r="BO12" s="27" t="s">
        <v>99</v>
      </c>
      <c r="BP12" s="31">
        <v>29180813</v>
      </c>
      <c r="BQ12" s="52"/>
      <c r="BR12" s="21" t="s">
        <v>126</v>
      </c>
      <c r="BS12" s="59" t="s">
        <v>127</v>
      </c>
      <c r="BT12" s="60">
        <v>46029</v>
      </c>
      <c r="BU12" s="121">
        <v>4500396129</v>
      </c>
      <c r="BV12" s="62">
        <v>46029</v>
      </c>
      <c r="BW12" s="60">
        <v>46030</v>
      </c>
      <c r="BX12" s="60">
        <v>46030</v>
      </c>
      <c r="BY12" s="64"/>
      <c r="BZ12" s="64"/>
      <c r="CA12" s="64"/>
      <c r="CB12" s="64"/>
      <c r="CC12" s="64"/>
      <c r="CD12" s="64"/>
      <c r="CE12" s="67" t="s">
        <v>295</v>
      </c>
      <c r="CF12" s="80" t="s">
        <v>296</v>
      </c>
      <c r="CG12" s="69" t="s">
        <v>297</v>
      </c>
      <c r="CH12" s="33">
        <v>3188443604</v>
      </c>
      <c r="CI12" s="70" t="s">
        <v>131</v>
      </c>
      <c r="CJ12" s="70">
        <v>18</v>
      </c>
      <c r="CK12" s="70">
        <v>1</v>
      </c>
      <c r="CL12" s="70">
        <v>2001</v>
      </c>
      <c r="CM12" s="71">
        <f t="shared" si="3"/>
        <v>23</v>
      </c>
    </row>
    <row r="13" spans="1:91" ht="33" customHeight="1" x14ac:dyDescent="0.25">
      <c r="A13" s="20" t="s">
        <v>91</v>
      </c>
      <c r="B13" s="21" t="s">
        <v>92</v>
      </c>
      <c r="C13" s="21" t="s">
        <v>93</v>
      </c>
      <c r="D13" s="22" t="s">
        <v>94</v>
      </c>
      <c r="E13" s="23" t="s">
        <v>95</v>
      </c>
      <c r="F13" s="24" t="s">
        <v>96</v>
      </c>
      <c r="G13" s="25" t="s">
        <v>97</v>
      </c>
      <c r="H13" s="88" t="s">
        <v>111</v>
      </c>
      <c r="I13" s="27" t="s">
        <v>281</v>
      </c>
      <c r="J13" s="21" t="s">
        <v>93</v>
      </c>
      <c r="K13" s="23" t="s">
        <v>95</v>
      </c>
      <c r="L13" s="26" t="s">
        <v>100</v>
      </c>
      <c r="M13" s="27" t="s">
        <v>99</v>
      </c>
      <c r="N13" s="28"/>
      <c r="O13" s="28"/>
      <c r="P13" s="28" t="s">
        <v>150</v>
      </c>
      <c r="Q13" s="141"/>
      <c r="R13" s="141"/>
      <c r="S13" s="69"/>
      <c r="T13" s="75"/>
      <c r="U13" s="32" t="s">
        <v>102</v>
      </c>
      <c r="V13" s="33">
        <v>3700028004</v>
      </c>
      <c r="W13" s="34">
        <v>46027</v>
      </c>
      <c r="X13" s="35">
        <v>1531992000</v>
      </c>
      <c r="Y13" s="31" t="s">
        <v>103</v>
      </c>
      <c r="Z13" s="36" t="s">
        <v>217</v>
      </c>
      <c r="AA13" s="37">
        <v>20115</v>
      </c>
      <c r="AB13" s="38" t="s">
        <v>234</v>
      </c>
      <c r="AC13" s="39" t="s">
        <v>251</v>
      </c>
      <c r="AD13" s="40" t="s">
        <v>252</v>
      </c>
      <c r="AE13" s="152" t="s">
        <v>282</v>
      </c>
      <c r="AF13" s="33"/>
      <c r="AG13" s="33" t="s">
        <v>102</v>
      </c>
      <c r="AH13" s="33" t="s">
        <v>298</v>
      </c>
      <c r="AI13" s="37" t="s">
        <v>299</v>
      </c>
      <c r="AJ13" s="42" t="s">
        <v>300</v>
      </c>
      <c r="AK13" s="43" t="s">
        <v>301</v>
      </c>
      <c r="AL13" s="78">
        <v>8</v>
      </c>
      <c r="AM13" s="33"/>
      <c r="AN13" s="45" t="s">
        <v>113</v>
      </c>
      <c r="AO13" s="46" t="s">
        <v>287</v>
      </c>
      <c r="AP13" s="46" t="s">
        <v>302</v>
      </c>
      <c r="AQ13" s="143" t="s">
        <v>260</v>
      </c>
      <c r="AR13" s="143" t="s">
        <v>260</v>
      </c>
      <c r="AS13" s="82" t="s">
        <v>303</v>
      </c>
      <c r="AT13" s="49" t="s">
        <v>304</v>
      </c>
      <c r="AU13" s="28" t="s">
        <v>305</v>
      </c>
      <c r="AV13" s="51" t="s">
        <v>306</v>
      </c>
      <c r="AW13" s="52" t="s">
        <v>122</v>
      </c>
      <c r="AX13" s="21" t="s">
        <v>307</v>
      </c>
      <c r="AY13" s="54">
        <f t="shared" si="0"/>
        <v>16752000</v>
      </c>
      <c r="AZ13" s="84"/>
      <c r="BA13" s="84"/>
      <c r="BB13" s="84"/>
      <c r="BC13" s="84"/>
      <c r="BD13" s="33" t="s">
        <v>124</v>
      </c>
      <c r="BE13" s="33">
        <v>6</v>
      </c>
      <c r="BF13" s="52" t="s">
        <v>308</v>
      </c>
      <c r="BG13" s="56">
        <v>2792000</v>
      </c>
      <c r="BH13" s="33"/>
      <c r="BI13" s="33"/>
      <c r="BJ13" s="33"/>
      <c r="BK13" s="33"/>
      <c r="BL13" s="33"/>
      <c r="BM13" s="22"/>
      <c r="BN13" s="21" t="s">
        <v>93</v>
      </c>
      <c r="BO13" s="21" t="s">
        <v>95</v>
      </c>
      <c r="BP13" s="31">
        <v>29180813</v>
      </c>
      <c r="BQ13" s="52"/>
      <c r="BR13" s="21" t="s">
        <v>126</v>
      </c>
      <c r="BS13" s="59" t="s">
        <v>127</v>
      </c>
      <c r="BT13" s="60">
        <v>46029</v>
      </c>
      <c r="BU13" s="121">
        <v>4500396200</v>
      </c>
      <c r="BV13" s="62">
        <v>46029</v>
      </c>
      <c r="BW13" s="60">
        <v>46030</v>
      </c>
      <c r="BX13" s="60">
        <v>46030</v>
      </c>
      <c r="BY13" s="64"/>
      <c r="BZ13" s="64"/>
      <c r="CA13" s="64"/>
      <c r="CB13" s="64"/>
      <c r="CC13" s="64"/>
      <c r="CD13" s="64"/>
      <c r="CE13" s="67" t="s">
        <v>309</v>
      </c>
      <c r="CF13" s="68" t="s">
        <v>310</v>
      </c>
      <c r="CG13" s="69" t="s">
        <v>311</v>
      </c>
      <c r="CH13" s="33">
        <v>3167561404</v>
      </c>
      <c r="CI13" s="70" t="s">
        <v>131</v>
      </c>
      <c r="CJ13" s="70">
        <v>25</v>
      </c>
      <c r="CK13" s="70">
        <v>1</v>
      </c>
      <c r="CL13" s="70">
        <v>1980</v>
      </c>
      <c r="CM13" s="71">
        <f t="shared" si="3"/>
        <v>44</v>
      </c>
    </row>
    <row r="14" spans="1:91" ht="33" customHeight="1" x14ac:dyDescent="0.25">
      <c r="A14" s="20" t="s">
        <v>91</v>
      </c>
      <c r="B14" s="21" t="s">
        <v>92</v>
      </c>
      <c r="C14" s="21" t="s">
        <v>93</v>
      </c>
      <c r="D14" s="22" t="s">
        <v>94</v>
      </c>
      <c r="E14" s="23" t="s">
        <v>95</v>
      </c>
      <c r="F14" s="24" t="s">
        <v>96</v>
      </c>
      <c r="G14" s="25" t="s">
        <v>97</v>
      </c>
      <c r="H14" s="88" t="s">
        <v>111</v>
      </c>
      <c r="I14" s="27" t="s">
        <v>281</v>
      </c>
      <c r="J14" s="21" t="s">
        <v>93</v>
      </c>
      <c r="K14" s="23" t="s">
        <v>95</v>
      </c>
      <c r="L14" s="26" t="s">
        <v>100</v>
      </c>
      <c r="M14" s="27" t="s">
        <v>99</v>
      </c>
      <c r="N14" s="28"/>
      <c r="O14" s="28"/>
      <c r="P14" s="28" t="s">
        <v>150</v>
      </c>
      <c r="Q14" s="28"/>
      <c r="R14" s="141"/>
      <c r="S14" s="75"/>
      <c r="T14" s="32"/>
      <c r="U14" s="32" t="s">
        <v>102</v>
      </c>
      <c r="V14" s="33">
        <v>3700028004</v>
      </c>
      <c r="W14" s="34">
        <v>46027</v>
      </c>
      <c r="X14" s="35">
        <v>1531992000</v>
      </c>
      <c r="Y14" s="31" t="s">
        <v>103</v>
      </c>
      <c r="Z14" s="36" t="s">
        <v>217</v>
      </c>
      <c r="AA14" s="37">
        <v>20115</v>
      </c>
      <c r="AB14" s="38" t="s">
        <v>234</v>
      </c>
      <c r="AC14" s="39" t="s">
        <v>251</v>
      </c>
      <c r="AD14" s="40" t="s">
        <v>252</v>
      </c>
      <c r="AE14" s="152" t="s">
        <v>253</v>
      </c>
      <c r="AF14" s="33"/>
      <c r="AG14" s="33" t="s">
        <v>102</v>
      </c>
      <c r="AH14" s="33" t="s">
        <v>312</v>
      </c>
      <c r="AI14" s="37" t="s">
        <v>313</v>
      </c>
      <c r="AJ14" s="42" t="s">
        <v>314</v>
      </c>
      <c r="AK14" s="43" t="s">
        <v>315</v>
      </c>
      <c r="AL14" s="183"/>
      <c r="AM14" s="33"/>
      <c r="AN14" s="45" t="s">
        <v>113</v>
      </c>
      <c r="AO14" s="46" t="s">
        <v>258</v>
      </c>
      <c r="AP14" s="46" t="s">
        <v>316</v>
      </c>
      <c r="AQ14" s="143" t="s">
        <v>260</v>
      </c>
      <c r="AR14" s="143" t="s">
        <v>260</v>
      </c>
      <c r="AS14" s="184" t="s">
        <v>317</v>
      </c>
      <c r="AT14" s="49" t="s">
        <v>262</v>
      </c>
      <c r="AU14" s="28" t="s">
        <v>318</v>
      </c>
      <c r="AV14" s="51" t="s">
        <v>319</v>
      </c>
      <c r="AW14" s="52" t="s">
        <v>122</v>
      </c>
      <c r="AX14" s="21" t="s">
        <v>265</v>
      </c>
      <c r="AY14" s="54">
        <f t="shared" si="0"/>
        <v>21306000</v>
      </c>
      <c r="AZ14" s="84"/>
      <c r="BA14" s="84"/>
      <c r="BB14" s="84"/>
      <c r="BC14" s="84"/>
      <c r="BD14" s="33" t="s">
        <v>124</v>
      </c>
      <c r="BE14" s="33">
        <v>6</v>
      </c>
      <c r="BF14" s="52" t="s">
        <v>266</v>
      </c>
      <c r="BG14" s="56">
        <v>3551000</v>
      </c>
      <c r="BH14" s="57"/>
      <c r="BI14" s="57"/>
      <c r="BJ14" s="57"/>
      <c r="BK14" s="57"/>
      <c r="BL14" s="57"/>
      <c r="BM14" s="58"/>
      <c r="BN14" s="21" t="s">
        <v>93</v>
      </c>
      <c r="BO14" s="21" t="s">
        <v>95</v>
      </c>
      <c r="BP14" s="31">
        <v>29180813</v>
      </c>
      <c r="BQ14" s="52"/>
      <c r="BR14" s="21" t="s">
        <v>126</v>
      </c>
      <c r="BS14" s="59" t="s">
        <v>127</v>
      </c>
      <c r="BT14" s="60">
        <v>46029</v>
      </c>
      <c r="BU14" s="121">
        <v>4500396202</v>
      </c>
      <c r="BV14" s="62">
        <v>46029</v>
      </c>
      <c r="BW14" s="60">
        <v>46030</v>
      </c>
      <c r="BX14" s="60">
        <v>46030</v>
      </c>
      <c r="BY14" s="64"/>
      <c r="BZ14" s="64"/>
      <c r="CA14" s="64"/>
      <c r="CB14" s="64"/>
      <c r="CC14" s="64"/>
      <c r="CD14" s="64"/>
      <c r="CE14" s="97" t="s">
        <v>320</v>
      </c>
      <c r="CF14" s="33" t="s">
        <v>321</v>
      </c>
      <c r="CG14" s="88" t="s">
        <v>322</v>
      </c>
      <c r="CH14" s="33">
        <v>3122446315</v>
      </c>
      <c r="CI14" s="31" t="s">
        <v>169</v>
      </c>
      <c r="CJ14" s="71">
        <v>16</v>
      </c>
      <c r="CK14" s="71">
        <v>8</v>
      </c>
      <c r="CL14" s="71">
        <v>1982</v>
      </c>
      <c r="CM14" s="71">
        <f t="shared" si="3"/>
        <v>42</v>
      </c>
    </row>
    <row r="15" spans="1:91" ht="34.5" customHeight="1" x14ac:dyDescent="0.25">
      <c r="A15" s="20" t="s">
        <v>91</v>
      </c>
      <c r="B15" s="21" t="s">
        <v>92</v>
      </c>
      <c r="C15" s="21" t="s">
        <v>93</v>
      </c>
      <c r="D15" s="22" t="s">
        <v>94</v>
      </c>
      <c r="E15" s="23" t="s">
        <v>95</v>
      </c>
      <c r="F15" s="24" t="s">
        <v>96</v>
      </c>
      <c r="G15" s="25" t="s">
        <v>97</v>
      </c>
      <c r="H15" s="88" t="s">
        <v>111</v>
      </c>
      <c r="I15" s="27" t="s">
        <v>281</v>
      </c>
      <c r="J15" s="28" t="s">
        <v>323</v>
      </c>
      <c r="K15" s="28" t="s">
        <v>324</v>
      </c>
      <c r="L15" s="26" t="s">
        <v>100</v>
      </c>
      <c r="M15" s="27" t="s">
        <v>99</v>
      </c>
      <c r="N15" s="28"/>
      <c r="O15" s="28"/>
      <c r="P15" s="28" t="s">
        <v>186</v>
      </c>
      <c r="Q15" s="28" t="s">
        <v>187</v>
      </c>
      <c r="R15" s="185" t="s">
        <v>325</v>
      </c>
      <c r="S15" s="186" t="s">
        <v>326</v>
      </c>
      <c r="T15" s="75" t="s">
        <v>102</v>
      </c>
      <c r="U15" s="32"/>
      <c r="V15" s="33">
        <v>3500254256</v>
      </c>
      <c r="W15" s="34">
        <v>46027</v>
      </c>
      <c r="X15" s="35">
        <v>67956000</v>
      </c>
      <c r="Y15" s="31" t="s">
        <v>103</v>
      </c>
      <c r="Z15" s="36" t="s">
        <v>327</v>
      </c>
      <c r="AA15" s="37">
        <v>20124</v>
      </c>
      <c r="AB15" s="38" t="s">
        <v>328</v>
      </c>
      <c r="AC15" s="39" t="s">
        <v>106</v>
      </c>
      <c r="AD15" s="40" t="s">
        <v>107</v>
      </c>
      <c r="AE15" s="41" t="s">
        <v>152</v>
      </c>
      <c r="AF15" s="33" t="s">
        <v>102</v>
      </c>
      <c r="AG15" s="33"/>
      <c r="AH15" s="33" t="s">
        <v>329</v>
      </c>
      <c r="AI15" s="37" t="s">
        <v>330</v>
      </c>
      <c r="AJ15" s="42" t="s">
        <v>331</v>
      </c>
      <c r="AK15" s="43" t="s">
        <v>332</v>
      </c>
      <c r="AL15" s="92">
        <v>0</v>
      </c>
      <c r="AM15" s="80"/>
      <c r="AN15" s="45" t="s">
        <v>113</v>
      </c>
      <c r="AO15" s="46" t="s">
        <v>333</v>
      </c>
      <c r="AP15" s="46" t="s">
        <v>334</v>
      </c>
      <c r="AQ15" s="47" t="s">
        <v>116</v>
      </c>
      <c r="AR15" s="47" t="s">
        <v>335</v>
      </c>
      <c r="AS15" s="82" t="s">
        <v>336</v>
      </c>
      <c r="AT15" s="49" t="s">
        <v>226</v>
      </c>
      <c r="AU15" s="24" t="s">
        <v>337</v>
      </c>
      <c r="AV15" s="187" t="s">
        <v>338</v>
      </c>
      <c r="AW15" s="52" t="s">
        <v>122</v>
      </c>
      <c r="AX15" s="21" t="s">
        <v>229</v>
      </c>
      <c r="AY15" s="54">
        <f t="shared" si="0"/>
        <v>33978000</v>
      </c>
      <c r="AZ15" s="117"/>
      <c r="BA15" s="117"/>
      <c r="BB15" s="117"/>
      <c r="BC15" s="117"/>
      <c r="BD15" s="33" t="s">
        <v>124</v>
      </c>
      <c r="BE15" s="33">
        <v>6</v>
      </c>
      <c r="BF15" s="52" t="s">
        <v>230</v>
      </c>
      <c r="BG15" s="56">
        <v>5663000</v>
      </c>
      <c r="BH15" s="33"/>
      <c r="BI15" s="33"/>
      <c r="BJ15" s="33"/>
      <c r="BK15" s="33"/>
      <c r="BL15" s="33"/>
      <c r="BM15" s="22"/>
      <c r="BN15" s="28" t="s">
        <v>323</v>
      </c>
      <c r="BO15" s="28" t="s">
        <v>324</v>
      </c>
      <c r="BP15" s="32">
        <v>31907790</v>
      </c>
      <c r="BQ15" s="52"/>
      <c r="BR15" s="21" t="s">
        <v>126</v>
      </c>
      <c r="BS15" s="59" t="s">
        <v>127</v>
      </c>
      <c r="BT15" s="60">
        <v>46029</v>
      </c>
      <c r="BU15" s="121">
        <v>4500396203</v>
      </c>
      <c r="BV15" s="62">
        <v>46029</v>
      </c>
      <c r="BW15" s="60">
        <v>46030</v>
      </c>
      <c r="BX15" s="60">
        <v>46030</v>
      </c>
      <c r="BY15" s="64"/>
      <c r="BZ15" s="64"/>
      <c r="CA15" s="64"/>
      <c r="CB15" s="64"/>
      <c r="CC15" s="64"/>
      <c r="CD15" s="64"/>
      <c r="CE15" s="97" t="s">
        <v>339</v>
      </c>
      <c r="CF15" s="145" t="s">
        <v>340</v>
      </c>
      <c r="CG15" s="188" t="s">
        <v>341</v>
      </c>
      <c r="CH15" s="33">
        <v>3016744172</v>
      </c>
      <c r="CI15" s="70" t="s">
        <v>131</v>
      </c>
      <c r="CJ15" s="71">
        <v>21</v>
      </c>
      <c r="CK15" s="71">
        <v>10</v>
      </c>
      <c r="CL15" s="71">
        <v>1979</v>
      </c>
      <c r="CM15" s="71">
        <f t="shared" si="3"/>
        <v>45</v>
      </c>
    </row>
    <row r="16" spans="1:91" ht="33" customHeight="1" x14ac:dyDescent="0.25">
      <c r="A16" s="20" t="s">
        <v>91</v>
      </c>
      <c r="B16" s="21" t="s">
        <v>92</v>
      </c>
      <c r="C16" s="21" t="s">
        <v>93</v>
      </c>
      <c r="D16" s="22" t="s">
        <v>94</v>
      </c>
      <c r="E16" s="23" t="s">
        <v>95</v>
      </c>
      <c r="F16" s="24" t="s">
        <v>96</v>
      </c>
      <c r="G16" s="25" t="s">
        <v>97</v>
      </c>
      <c r="H16" s="88" t="s">
        <v>111</v>
      </c>
      <c r="I16" s="27" t="s">
        <v>281</v>
      </c>
      <c r="J16" s="28" t="s">
        <v>323</v>
      </c>
      <c r="K16" s="28" t="s">
        <v>324</v>
      </c>
      <c r="L16" s="26" t="s">
        <v>100</v>
      </c>
      <c r="M16" s="27" t="s">
        <v>99</v>
      </c>
      <c r="N16" s="28"/>
      <c r="O16" s="28"/>
      <c r="P16" s="28" t="s">
        <v>150</v>
      </c>
      <c r="Q16" s="28"/>
      <c r="R16" s="141"/>
      <c r="S16" s="70"/>
      <c r="T16" s="32"/>
      <c r="U16" s="32" t="s">
        <v>102</v>
      </c>
      <c r="V16" s="33">
        <v>3700028004</v>
      </c>
      <c r="W16" s="34">
        <v>46027</v>
      </c>
      <c r="X16" s="35">
        <v>1531992000</v>
      </c>
      <c r="Y16" s="31" t="s">
        <v>103</v>
      </c>
      <c r="Z16" s="36" t="s">
        <v>217</v>
      </c>
      <c r="AA16" s="37">
        <v>20115</v>
      </c>
      <c r="AB16" s="38" t="s">
        <v>234</v>
      </c>
      <c r="AC16" s="39" t="s">
        <v>251</v>
      </c>
      <c r="AD16" s="40" t="s">
        <v>252</v>
      </c>
      <c r="AE16" s="152" t="s">
        <v>253</v>
      </c>
      <c r="AF16" s="33"/>
      <c r="AG16" s="33" t="s">
        <v>102</v>
      </c>
      <c r="AH16" s="33" t="s">
        <v>342</v>
      </c>
      <c r="AI16" s="37" t="s">
        <v>343</v>
      </c>
      <c r="AJ16" s="42" t="s">
        <v>344</v>
      </c>
      <c r="AK16" s="78" t="s">
        <v>345</v>
      </c>
      <c r="AL16" s="183" t="s">
        <v>346</v>
      </c>
      <c r="AM16" s="33"/>
      <c r="AN16" s="45" t="s">
        <v>113</v>
      </c>
      <c r="AO16" s="28" t="s">
        <v>258</v>
      </c>
      <c r="AP16" s="28" t="s">
        <v>347</v>
      </c>
      <c r="AQ16" s="189" t="s">
        <v>260</v>
      </c>
      <c r="AR16" s="189" t="s">
        <v>260</v>
      </c>
      <c r="AS16" s="104" t="s">
        <v>348</v>
      </c>
      <c r="AT16" s="104" t="s">
        <v>349</v>
      </c>
      <c r="AU16" s="190" t="s">
        <v>350</v>
      </c>
      <c r="AV16" s="51" t="s">
        <v>351</v>
      </c>
      <c r="AW16" s="52" t="s">
        <v>122</v>
      </c>
      <c r="AX16" s="21" t="s">
        <v>352</v>
      </c>
      <c r="AY16" s="54">
        <f t="shared" si="0"/>
        <v>17430000</v>
      </c>
      <c r="AZ16" s="84"/>
      <c r="BA16" s="84"/>
      <c r="BB16" s="84"/>
      <c r="BC16" s="84"/>
      <c r="BD16" s="33" t="s">
        <v>124</v>
      </c>
      <c r="BE16" s="33">
        <v>6</v>
      </c>
      <c r="BF16" s="52" t="s">
        <v>353</v>
      </c>
      <c r="BG16" s="56">
        <v>2905000</v>
      </c>
      <c r="BH16" s="57"/>
      <c r="BI16" s="57"/>
      <c r="BJ16" s="57"/>
      <c r="BK16" s="57"/>
      <c r="BL16" s="57"/>
      <c r="BM16" s="58"/>
      <c r="BN16" s="28" t="s">
        <v>323</v>
      </c>
      <c r="BO16" s="28" t="s">
        <v>324</v>
      </c>
      <c r="BP16" s="32">
        <v>31907790</v>
      </c>
      <c r="BQ16" s="52"/>
      <c r="BR16" s="21" t="s">
        <v>126</v>
      </c>
      <c r="BS16" s="59" t="s">
        <v>127</v>
      </c>
      <c r="BT16" s="60">
        <v>46029</v>
      </c>
      <c r="BU16" s="121">
        <v>4500396204</v>
      </c>
      <c r="BV16" s="62">
        <v>46029</v>
      </c>
      <c r="BW16" s="60">
        <v>46030</v>
      </c>
      <c r="BX16" s="60">
        <v>46030</v>
      </c>
      <c r="BY16" s="64"/>
      <c r="BZ16" s="64"/>
      <c r="CA16" s="64"/>
      <c r="CB16" s="64"/>
      <c r="CC16" s="64"/>
      <c r="CD16" s="64"/>
      <c r="CE16" s="97" t="s">
        <v>354</v>
      </c>
      <c r="CF16" s="33" t="s">
        <v>355</v>
      </c>
      <c r="CG16" s="88" t="s">
        <v>356</v>
      </c>
      <c r="CH16" s="33">
        <v>3108886033</v>
      </c>
      <c r="CI16" s="31" t="s">
        <v>169</v>
      </c>
      <c r="CJ16" s="71">
        <v>4</v>
      </c>
      <c r="CK16" s="71">
        <v>9</v>
      </c>
      <c r="CL16" s="71">
        <v>2001</v>
      </c>
      <c r="CM16" s="71">
        <f t="shared" si="3"/>
        <v>23</v>
      </c>
    </row>
    <row r="17" spans="1:91" ht="33" customHeight="1" x14ac:dyDescent="0.25">
      <c r="A17" s="20" t="s">
        <v>91</v>
      </c>
      <c r="B17" s="21" t="s">
        <v>92</v>
      </c>
      <c r="C17" s="21" t="s">
        <v>93</v>
      </c>
      <c r="D17" s="22" t="s">
        <v>94</v>
      </c>
      <c r="E17" s="23" t="s">
        <v>95</v>
      </c>
      <c r="F17" s="24" t="s">
        <v>96</v>
      </c>
      <c r="G17" s="25" t="s">
        <v>97</v>
      </c>
      <c r="H17" s="88" t="s">
        <v>111</v>
      </c>
      <c r="I17" s="27" t="s">
        <v>281</v>
      </c>
      <c r="J17" s="21" t="s">
        <v>93</v>
      </c>
      <c r="K17" s="23" t="s">
        <v>95</v>
      </c>
      <c r="L17" s="26" t="s">
        <v>100</v>
      </c>
      <c r="M17" s="27" t="s">
        <v>99</v>
      </c>
      <c r="N17" s="28"/>
      <c r="O17" s="28"/>
      <c r="P17" s="28" t="s">
        <v>150</v>
      </c>
      <c r="Q17" s="28"/>
      <c r="R17" s="29"/>
      <c r="S17" s="29"/>
      <c r="T17" s="31"/>
      <c r="U17" s="32" t="s">
        <v>102</v>
      </c>
      <c r="V17" s="33">
        <v>3700028004</v>
      </c>
      <c r="W17" s="34">
        <v>46027</v>
      </c>
      <c r="X17" s="35">
        <v>1531992000</v>
      </c>
      <c r="Y17" s="31" t="s">
        <v>103</v>
      </c>
      <c r="Z17" s="36" t="s">
        <v>104</v>
      </c>
      <c r="AA17" s="37">
        <v>20115</v>
      </c>
      <c r="AB17" s="38" t="s">
        <v>234</v>
      </c>
      <c r="AC17" s="39" t="s">
        <v>106</v>
      </c>
      <c r="AD17" s="40" t="s">
        <v>107</v>
      </c>
      <c r="AE17" s="41" t="s">
        <v>152</v>
      </c>
      <c r="AF17" s="33" t="s">
        <v>102</v>
      </c>
      <c r="AG17" s="191"/>
      <c r="AH17" s="33" t="s">
        <v>357</v>
      </c>
      <c r="AI17" s="37" t="s">
        <v>358</v>
      </c>
      <c r="AJ17" s="42" t="s">
        <v>359</v>
      </c>
      <c r="AK17" s="78" t="s">
        <v>360</v>
      </c>
      <c r="AL17" s="44">
        <v>2</v>
      </c>
      <c r="AM17" s="33"/>
      <c r="AN17" s="45" t="s">
        <v>113</v>
      </c>
      <c r="AO17" s="46" t="s">
        <v>222</v>
      </c>
      <c r="AP17" s="46" t="s">
        <v>361</v>
      </c>
      <c r="AQ17" s="47" t="s">
        <v>116</v>
      </c>
      <c r="AR17" s="47" t="s">
        <v>362</v>
      </c>
      <c r="AS17" s="49" t="s">
        <v>363</v>
      </c>
      <c r="AT17" s="49" t="s">
        <v>226</v>
      </c>
      <c r="AU17" s="28" t="s">
        <v>364</v>
      </c>
      <c r="AV17" s="51" t="s">
        <v>365</v>
      </c>
      <c r="AW17" s="52" t="s">
        <v>122</v>
      </c>
      <c r="AX17" s="21" t="s">
        <v>229</v>
      </c>
      <c r="AY17" s="54">
        <f t="shared" si="0"/>
        <v>33978000</v>
      </c>
      <c r="AZ17" s="84"/>
      <c r="BA17" s="84"/>
      <c r="BB17" s="84"/>
      <c r="BC17" s="84"/>
      <c r="BD17" s="33" t="s">
        <v>124</v>
      </c>
      <c r="BE17" s="33">
        <v>6</v>
      </c>
      <c r="BF17" s="52" t="s">
        <v>230</v>
      </c>
      <c r="BG17" s="56">
        <v>5663000</v>
      </c>
      <c r="BH17" s="57"/>
      <c r="BI17" s="57"/>
      <c r="BJ17" s="57"/>
      <c r="BK17" s="57"/>
      <c r="BL17" s="57"/>
      <c r="BM17" s="58"/>
      <c r="BN17" s="28" t="s">
        <v>100</v>
      </c>
      <c r="BO17" s="27" t="s">
        <v>99</v>
      </c>
      <c r="BP17" s="31">
        <v>29180813</v>
      </c>
      <c r="BQ17" s="52"/>
      <c r="BR17" s="21" t="s">
        <v>126</v>
      </c>
      <c r="BS17" s="59" t="s">
        <v>127</v>
      </c>
      <c r="BT17" s="60">
        <v>46029</v>
      </c>
      <c r="BU17" s="121">
        <v>4500396399</v>
      </c>
      <c r="BV17" s="62">
        <v>46030</v>
      </c>
      <c r="BW17" s="60">
        <v>46031</v>
      </c>
      <c r="BX17" s="60">
        <v>46031</v>
      </c>
      <c r="BY17" s="64"/>
      <c r="BZ17" s="64"/>
      <c r="CA17" s="64"/>
      <c r="CB17" s="64"/>
      <c r="CC17" s="64"/>
      <c r="CD17" s="64"/>
      <c r="CE17" s="97" t="s">
        <v>366</v>
      </c>
      <c r="CF17" s="145" t="s">
        <v>367</v>
      </c>
      <c r="CG17" s="88" t="s">
        <v>368</v>
      </c>
      <c r="CH17" s="127">
        <v>3117435013</v>
      </c>
      <c r="CI17" s="31" t="s">
        <v>185</v>
      </c>
      <c r="CJ17" s="71">
        <v>24</v>
      </c>
      <c r="CK17" s="71">
        <v>3</v>
      </c>
      <c r="CL17" s="71">
        <v>1960</v>
      </c>
      <c r="CM17" s="71">
        <f>2025-CL17</f>
        <v>65</v>
      </c>
    </row>
    <row r="18" spans="1:91" ht="33" customHeight="1" x14ac:dyDescent="0.25">
      <c r="A18" s="20" t="s">
        <v>91</v>
      </c>
      <c r="B18" s="21" t="s">
        <v>92</v>
      </c>
      <c r="C18" s="21" t="s">
        <v>93</v>
      </c>
      <c r="D18" s="22" t="s">
        <v>94</v>
      </c>
      <c r="E18" s="23" t="s">
        <v>95</v>
      </c>
      <c r="F18" s="24" t="s">
        <v>96</v>
      </c>
      <c r="G18" s="25" t="s">
        <v>97</v>
      </c>
      <c r="H18" s="88" t="s">
        <v>111</v>
      </c>
      <c r="I18" s="27" t="s">
        <v>281</v>
      </c>
      <c r="J18" s="21" t="s">
        <v>93</v>
      </c>
      <c r="K18" s="23" t="s">
        <v>95</v>
      </c>
      <c r="L18" s="26" t="s">
        <v>100</v>
      </c>
      <c r="M18" s="27" t="s">
        <v>99</v>
      </c>
      <c r="N18" s="50"/>
      <c r="O18" s="50"/>
      <c r="P18" s="25" t="s">
        <v>150</v>
      </c>
      <c r="Q18" s="25"/>
      <c r="R18" s="25"/>
      <c r="S18" s="192"/>
      <c r="T18" s="75"/>
      <c r="U18" s="32" t="s">
        <v>102</v>
      </c>
      <c r="V18" s="33">
        <v>3700028004</v>
      </c>
      <c r="W18" s="34">
        <v>46027</v>
      </c>
      <c r="X18" s="35">
        <v>1531992000</v>
      </c>
      <c r="Y18" s="31" t="s">
        <v>103</v>
      </c>
      <c r="Z18" s="36" t="s">
        <v>104</v>
      </c>
      <c r="AA18" s="37">
        <v>20115</v>
      </c>
      <c r="AB18" s="38" t="s">
        <v>105</v>
      </c>
      <c r="AC18" s="39" t="s">
        <v>106</v>
      </c>
      <c r="AD18" s="42" t="s">
        <v>107</v>
      </c>
      <c r="AE18" s="41" t="s">
        <v>108</v>
      </c>
      <c r="AF18" s="33" t="s">
        <v>102</v>
      </c>
      <c r="AG18" s="33"/>
      <c r="AH18" s="33" t="s">
        <v>369</v>
      </c>
      <c r="AI18" s="37" t="s">
        <v>370</v>
      </c>
      <c r="AJ18" s="42" t="s">
        <v>371</v>
      </c>
      <c r="AK18" s="193" t="s">
        <v>372</v>
      </c>
      <c r="AL18" s="44"/>
      <c r="AM18" s="33"/>
      <c r="AN18" s="45" t="s">
        <v>373</v>
      </c>
      <c r="AO18" s="46" t="s">
        <v>136</v>
      </c>
      <c r="AP18" s="46" t="s">
        <v>374</v>
      </c>
      <c r="AQ18" s="47" t="s">
        <v>116</v>
      </c>
      <c r="AR18" s="47" t="s">
        <v>375</v>
      </c>
      <c r="AS18" s="94" t="s">
        <v>376</v>
      </c>
      <c r="AT18" s="49" t="s">
        <v>377</v>
      </c>
      <c r="AU18" s="28" t="s">
        <v>378</v>
      </c>
      <c r="AV18" s="51" t="s">
        <v>379</v>
      </c>
      <c r="AW18" s="52" t="s">
        <v>122</v>
      </c>
      <c r="AX18" s="21" t="s">
        <v>380</v>
      </c>
      <c r="AY18" s="54">
        <f t="shared" si="0"/>
        <v>74208000</v>
      </c>
      <c r="AZ18" s="194" t="s">
        <v>381</v>
      </c>
      <c r="BA18" s="195">
        <v>62359663.865546219</v>
      </c>
      <c r="BB18" s="194" t="s">
        <v>382</v>
      </c>
      <c r="BC18" s="195">
        <v>11848336.134453781</v>
      </c>
      <c r="BD18" s="33" t="s">
        <v>124</v>
      </c>
      <c r="BE18" s="33">
        <v>6</v>
      </c>
      <c r="BF18" s="52" t="s">
        <v>383</v>
      </c>
      <c r="BG18" s="56">
        <v>12368000</v>
      </c>
      <c r="BH18" s="196"/>
      <c r="BI18" s="196">
        <f>BG18/1.19</f>
        <v>10393277.31092437</v>
      </c>
      <c r="BJ18" s="196"/>
      <c r="BK18" s="197">
        <f>BI18*19%</f>
        <v>1974722.6890756304</v>
      </c>
      <c r="BL18" s="198"/>
      <c r="BN18" s="154" t="s">
        <v>93</v>
      </c>
      <c r="BO18" s="156" t="s">
        <v>95</v>
      </c>
      <c r="BP18" s="31">
        <v>29180813</v>
      </c>
      <c r="BQ18" s="52"/>
      <c r="BR18" s="21" t="s">
        <v>126</v>
      </c>
      <c r="BS18" s="59" t="s">
        <v>145</v>
      </c>
      <c r="BT18" s="60">
        <v>46038</v>
      </c>
      <c r="BU18" s="85">
        <v>4500402405</v>
      </c>
      <c r="BV18" s="62">
        <v>46038</v>
      </c>
      <c r="BW18" s="60">
        <v>46038</v>
      </c>
      <c r="BX18" s="60">
        <v>46038</v>
      </c>
      <c r="BY18" s="64"/>
      <c r="BZ18" s="64"/>
      <c r="CA18" s="64"/>
      <c r="CB18" s="64"/>
      <c r="CC18" s="64"/>
      <c r="CD18" s="64"/>
      <c r="CE18" s="199" t="s">
        <v>384</v>
      </c>
      <c r="CF18" s="33" t="s">
        <v>385</v>
      </c>
      <c r="CG18" s="69" t="s">
        <v>386</v>
      </c>
      <c r="CH18" s="33">
        <v>3208858249</v>
      </c>
      <c r="CI18" s="70" t="s">
        <v>131</v>
      </c>
      <c r="CJ18" s="70">
        <v>19</v>
      </c>
      <c r="CK18" s="70">
        <v>4</v>
      </c>
      <c r="CL18" s="70">
        <v>1977</v>
      </c>
      <c r="CM18" s="71">
        <f t="shared" ref="CM18:CM19" si="4">2024-CL18</f>
        <v>47</v>
      </c>
    </row>
    <row r="19" spans="1:91" ht="33" customHeight="1" x14ac:dyDescent="0.25">
      <c r="A19" s="98" t="s">
        <v>91</v>
      </c>
      <c r="B19" s="154" t="s">
        <v>92</v>
      </c>
      <c r="C19" s="154" t="s">
        <v>93</v>
      </c>
      <c r="D19" s="22" t="s">
        <v>94</v>
      </c>
      <c r="E19" s="156" t="s">
        <v>95</v>
      </c>
      <c r="F19" s="157" t="s">
        <v>96</v>
      </c>
      <c r="G19" s="83" t="s">
        <v>97</v>
      </c>
      <c r="H19" s="88" t="s">
        <v>111</v>
      </c>
      <c r="I19" s="27" t="s">
        <v>281</v>
      </c>
      <c r="J19" s="154" t="s">
        <v>93</v>
      </c>
      <c r="K19" s="156" t="s">
        <v>387</v>
      </c>
      <c r="L19" s="26" t="s">
        <v>100</v>
      </c>
      <c r="M19" s="27" t="s">
        <v>99</v>
      </c>
      <c r="N19" s="200"/>
      <c r="O19" s="200"/>
      <c r="P19" s="49" t="s">
        <v>150</v>
      </c>
      <c r="Q19" s="49"/>
      <c r="R19" s="161"/>
      <c r="S19" s="201"/>
      <c r="T19" s="164"/>
      <c r="U19" s="164" t="s">
        <v>102</v>
      </c>
      <c r="V19" s="33">
        <v>3700028004</v>
      </c>
      <c r="W19" s="34">
        <v>46027</v>
      </c>
      <c r="X19" s="35">
        <v>1531992000</v>
      </c>
      <c r="Y19" s="31" t="s">
        <v>103</v>
      </c>
      <c r="Z19" s="168" t="s">
        <v>217</v>
      </c>
      <c r="AA19" s="37">
        <v>20115</v>
      </c>
      <c r="AB19" s="38" t="s">
        <v>234</v>
      </c>
      <c r="AC19" s="170" t="s">
        <v>251</v>
      </c>
      <c r="AD19" s="171" t="s">
        <v>252</v>
      </c>
      <c r="AE19" s="202" t="s">
        <v>253</v>
      </c>
      <c r="AF19" s="116"/>
      <c r="AG19" s="116" t="s">
        <v>102</v>
      </c>
      <c r="AH19" s="33" t="s">
        <v>388</v>
      </c>
      <c r="AI19" s="37" t="s">
        <v>389</v>
      </c>
      <c r="AJ19" s="42" t="s">
        <v>390</v>
      </c>
      <c r="AK19" s="203" t="s">
        <v>391</v>
      </c>
      <c r="AL19" s="204" t="s">
        <v>392</v>
      </c>
      <c r="AM19" s="80"/>
      <c r="AN19" s="205" t="s">
        <v>113</v>
      </c>
      <c r="AO19" s="49" t="s">
        <v>393</v>
      </c>
      <c r="AP19" s="49" t="s">
        <v>394</v>
      </c>
      <c r="AQ19" s="167" t="s">
        <v>260</v>
      </c>
      <c r="AR19" s="167" t="s">
        <v>260</v>
      </c>
      <c r="AS19" s="83" t="s">
        <v>395</v>
      </c>
      <c r="AT19" s="49" t="s">
        <v>262</v>
      </c>
      <c r="AU19" s="206" t="s">
        <v>396</v>
      </c>
      <c r="AV19" s="207" t="s">
        <v>397</v>
      </c>
      <c r="AW19" s="52" t="s">
        <v>398</v>
      </c>
      <c r="AX19" s="21" t="s">
        <v>399</v>
      </c>
      <c r="AY19" s="54">
        <f t="shared" si="0"/>
        <v>14204000</v>
      </c>
      <c r="AZ19" s="116"/>
      <c r="BA19" s="116"/>
      <c r="BB19" s="117"/>
      <c r="BC19" s="117"/>
      <c r="BD19" s="33" t="s">
        <v>400</v>
      </c>
      <c r="BE19" s="33">
        <v>4</v>
      </c>
      <c r="BF19" s="52" t="s">
        <v>266</v>
      </c>
      <c r="BG19" s="208">
        <v>3551000</v>
      </c>
      <c r="BH19" s="178"/>
      <c r="BI19" s="178"/>
      <c r="BJ19" s="178"/>
      <c r="BK19" s="178"/>
      <c r="BL19" s="178"/>
      <c r="BM19" s="179"/>
      <c r="BN19" s="154" t="s">
        <v>93</v>
      </c>
      <c r="BO19" s="156" t="s">
        <v>95</v>
      </c>
      <c r="BP19" s="31">
        <v>29180813</v>
      </c>
      <c r="BQ19" s="170"/>
      <c r="BR19" s="21" t="s">
        <v>126</v>
      </c>
      <c r="BS19" s="59" t="s">
        <v>127</v>
      </c>
      <c r="BT19" s="60">
        <v>46030</v>
      </c>
      <c r="BU19" s="209">
        <v>4500397117</v>
      </c>
      <c r="BV19" s="62">
        <v>46031</v>
      </c>
      <c r="BW19" s="60">
        <v>46031</v>
      </c>
      <c r="BX19" s="60">
        <v>46031</v>
      </c>
      <c r="BY19" s="123"/>
      <c r="BZ19" s="123"/>
      <c r="CA19" s="123"/>
      <c r="CB19" s="123"/>
      <c r="CC19" s="123"/>
      <c r="CD19" s="123"/>
      <c r="CE19" s="124" t="s">
        <v>401</v>
      </c>
      <c r="CF19" s="116" t="s">
        <v>402</v>
      </c>
      <c r="CG19" s="181" t="s">
        <v>403</v>
      </c>
      <c r="CH19" s="116">
        <v>3108886033</v>
      </c>
      <c r="CI19" s="167" t="s">
        <v>169</v>
      </c>
      <c r="CJ19" s="182">
        <v>12</v>
      </c>
      <c r="CK19" s="182">
        <v>9</v>
      </c>
      <c r="CL19" s="182">
        <v>2002</v>
      </c>
      <c r="CM19" s="182">
        <f t="shared" si="4"/>
        <v>22</v>
      </c>
    </row>
    <row r="20" spans="1:91" ht="33" customHeight="1" x14ac:dyDescent="0.25">
      <c r="A20" s="20" t="s">
        <v>91</v>
      </c>
      <c r="B20" s="21" t="s">
        <v>92</v>
      </c>
      <c r="C20" s="21" t="s">
        <v>93</v>
      </c>
      <c r="D20" s="22" t="s">
        <v>94</v>
      </c>
      <c r="E20" s="23" t="s">
        <v>95</v>
      </c>
      <c r="F20" s="24" t="s">
        <v>96</v>
      </c>
      <c r="G20" s="25" t="s">
        <v>97</v>
      </c>
      <c r="H20" s="88" t="s">
        <v>111</v>
      </c>
      <c r="I20" s="27" t="s">
        <v>281</v>
      </c>
      <c r="J20" s="21" t="s">
        <v>93</v>
      </c>
      <c r="K20" s="23" t="s">
        <v>95</v>
      </c>
      <c r="L20" s="26" t="s">
        <v>100</v>
      </c>
      <c r="M20" s="27" t="s">
        <v>99</v>
      </c>
      <c r="N20" s="50"/>
      <c r="O20" s="50"/>
      <c r="P20" s="25" t="s">
        <v>150</v>
      </c>
      <c r="Q20" s="55"/>
      <c r="R20" s="55"/>
      <c r="S20" s="147"/>
      <c r="T20" s="32"/>
      <c r="U20" s="33" t="s">
        <v>102</v>
      </c>
      <c r="V20" s="33">
        <v>3700028004</v>
      </c>
      <c r="W20" s="34">
        <v>46027</v>
      </c>
      <c r="X20" s="35">
        <v>1531992000</v>
      </c>
      <c r="Y20" s="31" t="s">
        <v>103</v>
      </c>
      <c r="Z20" s="36" t="s">
        <v>104</v>
      </c>
      <c r="AA20" s="37">
        <v>20115</v>
      </c>
      <c r="AB20" s="38" t="s">
        <v>234</v>
      </c>
      <c r="AC20" s="39" t="s">
        <v>106</v>
      </c>
      <c r="AD20" s="42" t="s">
        <v>107</v>
      </c>
      <c r="AE20" s="41" t="s">
        <v>152</v>
      </c>
      <c r="AF20" s="33" t="s">
        <v>102</v>
      </c>
      <c r="AG20" s="33"/>
      <c r="AH20" s="33" t="s">
        <v>404</v>
      </c>
      <c r="AI20" s="37" t="s">
        <v>405</v>
      </c>
      <c r="AJ20" s="77" t="s">
        <v>406</v>
      </c>
      <c r="AK20" s="43" t="s">
        <v>407</v>
      </c>
      <c r="AL20" s="33"/>
      <c r="AM20" s="33"/>
      <c r="AN20" s="205" t="s">
        <v>113</v>
      </c>
      <c r="AO20" s="46" t="s">
        <v>222</v>
      </c>
      <c r="AP20" s="46" t="s">
        <v>408</v>
      </c>
      <c r="AQ20" s="143" t="s">
        <v>116</v>
      </c>
      <c r="AR20" s="143" t="s">
        <v>409</v>
      </c>
      <c r="AS20" s="49" t="s">
        <v>410</v>
      </c>
      <c r="AT20" s="49" t="s">
        <v>411</v>
      </c>
      <c r="AU20" s="210" t="s">
        <v>412</v>
      </c>
      <c r="AV20" s="51" t="s">
        <v>413</v>
      </c>
      <c r="AW20" s="52" t="s">
        <v>398</v>
      </c>
      <c r="AX20" s="21" t="s">
        <v>414</v>
      </c>
      <c r="AY20" s="54">
        <f t="shared" si="0"/>
        <v>22652000</v>
      </c>
      <c r="AZ20" s="84"/>
      <c r="BA20" s="84"/>
      <c r="BB20" s="84"/>
      <c r="BC20" s="84"/>
      <c r="BD20" s="33" t="s">
        <v>400</v>
      </c>
      <c r="BE20" s="33">
        <v>4</v>
      </c>
      <c r="BF20" s="52" t="s">
        <v>230</v>
      </c>
      <c r="BG20" s="56">
        <v>5663000</v>
      </c>
      <c r="BH20" s="57"/>
      <c r="BI20" s="57"/>
      <c r="BJ20" s="57"/>
      <c r="BK20" s="57"/>
      <c r="BL20" s="57"/>
      <c r="BM20" s="58"/>
      <c r="BN20" s="28" t="s">
        <v>100</v>
      </c>
      <c r="BO20" s="27" t="s">
        <v>99</v>
      </c>
      <c r="BP20" s="32">
        <v>29180813</v>
      </c>
      <c r="BQ20" s="52"/>
      <c r="BR20" s="21" t="s">
        <v>126</v>
      </c>
      <c r="BS20" s="59" t="s">
        <v>127</v>
      </c>
      <c r="BT20" s="60">
        <v>46029</v>
      </c>
      <c r="BU20" s="121">
        <v>4500396408</v>
      </c>
      <c r="BV20" s="62">
        <v>46030</v>
      </c>
      <c r="BW20" s="60">
        <v>46031</v>
      </c>
      <c r="BX20" s="60">
        <v>46031</v>
      </c>
      <c r="BY20" s="64"/>
      <c r="BZ20" s="64"/>
      <c r="CA20" s="64"/>
      <c r="CB20" s="64"/>
      <c r="CC20" s="64"/>
      <c r="CD20" s="64"/>
      <c r="CE20" s="67" t="s">
        <v>415</v>
      </c>
      <c r="CF20" s="145" t="s">
        <v>416</v>
      </c>
      <c r="CG20" s="69"/>
      <c r="CH20" s="33">
        <v>3153168091</v>
      </c>
      <c r="CI20" s="70"/>
      <c r="CJ20" s="70"/>
      <c r="CK20" s="70"/>
      <c r="CL20" s="70"/>
      <c r="CM20" s="71"/>
    </row>
    <row r="21" spans="1:91" ht="36.75" customHeight="1" x14ac:dyDescent="0.25">
      <c r="A21" s="20" t="s">
        <v>91</v>
      </c>
      <c r="B21" s="21" t="s">
        <v>92</v>
      </c>
      <c r="C21" s="21" t="s">
        <v>93</v>
      </c>
      <c r="D21" s="22" t="s">
        <v>94</v>
      </c>
      <c r="E21" s="23" t="s">
        <v>95</v>
      </c>
      <c r="F21" s="24" t="s">
        <v>96</v>
      </c>
      <c r="G21" s="25" t="s">
        <v>97</v>
      </c>
      <c r="H21" s="88" t="s">
        <v>111</v>
      </c>
      <c r="I21" s="27" t="s">
        <v>281</v>
      </c>
      <c r="J21" s="21" t="s">
        <v>93</v>
      </c>
      <c r="K21" s="23" t="s">
        <v>95</v>
      </c>
      <c r="L21" s="26" t="s">
        <v>100</v>
      </c>
      <c r="M21" s="27" t="s">
        <v>99</v>
      </c>
      <c r="N21" s="211"/>
      <c r="O21" s="211"/>
      <c r="P21" s="212" t="s">
        <v>417</v>
      </c>
      <c r="Q21" s="212"/>
      <c r="R21" s="146"/>
      <c r="S21" s="147"/>
      <c r="T21" s="33"/>
      <c r="U21" s="32" t="s">
        <v>102</v>
      </c>
      <c r="V21" s="33">
        <v>3700028004</v>
      </c>
      <c r="W21" s="34">
        <v>46027</v>
      </c>
      <c r="X21" s="35">
        <v>1531992000</v>
      </c>
      <c r="Y21" s="31" t="s">
        <v>103</v>
      </c>
      <c r="Z21" s="36" t="s">
        <v>104</v>
      </c>
      <c r="AA21" s="37">
        <v>20115</v>
      </c>
      <c r="AB21" s="38" t="s">
        <v>234</v>
      </c>
      <c r="AC21" s="39" t="s">
        <v>106</v>
      </c>
      <c r="AD21" s="42" t="s">
        <v>107</v>
      </c>
      <c r="AE21" s="41" t="s">
        <v>152</v>
      </c>
      <c r="AF21" s="33" t="s">
        <v>102</v>
      </c>
      <c r="AG21" s="33"/>
      <c r="AH21" s="33" t="s">
        <v>418</v>
      </c>
      <c r="AI21" s="37" t="s">
        <v>419</v>
      </c>
      <c r="AJ21" s="42" t="s">
        <v>420</v>
      </c>
      <c r="AK21" s="43" t="s">
        <v>421</v>
      </c>
      <c r="AL21" s="213"/>
      <c r="AM21" s="33"/>
      <c r="AN21" s="205" t="s">
        <v>113</v>
      </c>
      <c r="AO21" s="214" t="s">
        <v>222</v>
      </c>
      <c r="AP21" s="46" t="s">
        <v>422</v>
      </c>
      <c r="AQ21" s="215" t="s">
        <v>116</v>
      </c>
      <c r="AR21" s="216" t="s">
        <v>423</v>
      </c>
      <c r="AS21" s="217" t="s">
        <v>424</v>
      </c>
      <c r="AT21" s="49" t="s">
        <v>226</v>
      </c>
      <c r="AU21" s="210" t="s">
        <v>425</v>
      </c>
      <c r="AV21" s="51" t="s">
        <v>426</v>
      </c>
      <c r="AW21" s="52" t="s">
        <v>122</v>
      </c>
      <c r="AX21" s="21" t="s">
        <v>229</v>
      </c>
      <c r="AY21" s="54">
        <f t="shared" si="0"/>
        <v>33978000</v>
      </c>
      <c r="AZ21" s="84"/>
      <c r="BA21" s="84"/>
      <c r="BB21" s="84"/>
      <c r="BC21" s="84"/>
      <c r="BD21" s="33" t="s">
        <v>124</v>
      </c>
      <c r="BE21" s="33">
        <v>6</v>
      </c>
      <c r="BF21" s="52" t="s">
        <v>230</v>
      </c>
      <c r="BG21" s="56">
        <v>5663000</v>
      </c>
      <c r="BH21" s="218"/>
      <c r="BI21" s="218"/>
      <c r="BJ21" s="218"/>
      <c r="BK21" s="218"/>
      <c r="BL21" s="218"/>
      <c r="BM21" s="218"/>
      <c r="BN21" s="28" t="s">
        <v>100</v>
      </c>
      <c r="BO21" s="27" t="s">
        <v>99</v>
      </c>
      <c r="BP21" s="32">
        <v>29180813</v>
      </c>
      <c r="BQ21" s="52"/>
      <c r="BR21" s="21" t="s">
        <v>126</v>
      </c>
      <c r="BS21" s="59" t="s">
        <v>127</v>
      </c>
      <c r="BT21" s="60">
        <v>46029</v>
      </c>
      <c r="BU21" s="121">
        <v>4500396414</v>
      </c>
      <c r="BV21" s="62">
        <v>46030</v>
      </c>
      <c r="BW21" s="60">
        <v>46031</v>
      </c>
      <c r="BX21" s="60">
        <v>46031</v>
      </c>
      <c r="BY21" s="64"/>
      <c r="BZ21" s="64"/>
      <c r="CA21" s="64"/>
      <c r="CB21" s="64"/>
      <c r="CC21" s="64"/>
      <c r="CD21" s="64"/>
      <c r="CE21" s="67" t="s">
        <v>427</v>
      </c>
      <c r="CF21" s="68" t="s">
        <v>428</v>
      </c>
      <c r="CG21" s="69" t="s">
        <v>429</v>
      </c>
      <c r="CH21" s="33">
        <v>3206974184</v>
      </c>
      <c r="CI21" s="70" t="s">
        <v>131</v>
      </c>
      <c r="CJ21" s="70">
        <v>13</v>
      </c>
      <c r="CK21" s="70">
        <v>1</v>
      </c>
      <c r="CL21" s="70">
        <v>1988</v>
      </c>
      <c r="CM21" s="71">
        <f t="shared" ref="CM21:CM28" si="5">2024-CL21</f>
        <v>36</v>
      </c>
    </row>
    <row r="22" spans="1:91" ht="33" customHeight="1" x14ac:dyDescent="0.25">
      <c r="A22" s="20" t="s">
        <v>91</v>
      </c>
      <c r="B22" s="21" t="s">
        <v>92</v>
      </c>
      <c r="C22" s="21" t="s">
        <v>93</v>
      </c>
      <c r="D22" s="22" t="s">
        <v>94</v>
      </c>
      <c r="E22" s="23" t="s">
        <v>95</v>
      </c>
      <c r="F22" s="24" t="s">
        <v>96</v>
      </c>
      <c r="G22" s="25" t="s">
        <v>97</v>
      </c>
      <c r="H22" s="88" t="s">
        <v>111</v>
      </c>
      <c r="I22" s="27" t="s">
        <v>281</v>
      </c>
      <c r="J22" s="28" t="s">
        <v>323</v>
      </c>
      <c r="K22" s="28" t="s">
        <v>324</v>
      </c>
      <c r="L22" s="26" t="s">
        <v>100</v>
      </c>
      <c r="M22" s="27" t="s">
        <v>99</v>
      </c>
      <c r="N22" s="28"/>
      <c r="O22" s="28"/>
      <c r="P22" s="28" t="s">
        <v>150</v>
      </c>
      <c r="Q22" s="141"/>
      <c r="R22" s="141"/>
      <c r="S22" s="147"/>
      <c r="T22" s="75"/>
      <c r="U22" s="32" t="s">
        <v>102</v>
      </c>
      <c r="V22" s="33">
        <v>3700028004</v>
      </c>
      <c r="W22" s="34">
        <v>46027</v>
      </c>
      <c r="X22" s="35">
        <v>1531992000</v>
      </c>
      <c r="Y22" s="31" t="s">
        <v>103</v>
      </c>
      <c r="Z22" s="36" t="s">
        <v>104</v>
      </c>
      <c r="AA22" s="37">
        <v>20115</v>
      </c>
      <c r="AB22" s="38" t="s">
        <v>234</v>
      </c>
      <c r="AC22" s="39" t="s">
        <v>106</v>
      </c>
      <c r="AD22" s="40" t="s">
        <v>107</v>
      </c>
      <c r="AE22" s="152" t="s">
        <v>152</v>
      </c>
      <c r="AF22" s="33" t="s">
        <v>102</v>
      </c>
      <c r="AG22" s="33"/>
      <c r="AH22" s="33" t="s">
        <v>430</v>
      </c>
      <c r="AI22" s="37" t="s">
        <v>431</v>
      </c>
      <c r="AJ22" s="42" t="s">
        <v>432</v>
      </c>
      <c r="AK22" s="78" t="s">
        <v>433</v>
      </c>
      <c r="AL22" s="92"/>
      <c r="AM22" s="33"/>
      <c r="AN22" s="205" t="s">
        <v>113</v>
      </c>
      <c r="AO22" s="46" t="s">
        <v>222</v>
      </c>
      <c r="AP22" s="219" t="s">
        <v>434</v>
      </c>
      <c r="AQ22" s="220" t="s">
        <v>116</v>
      </c>
      <c r="AR22" s="143" t="s">
        <v>435</v>
      </c>
      <c r="AS22" s="49" t="s">
        <v>436</v>
      </c>
      <c r="AT22" s="221" t="s">
        <v>437</v>
      </c>
      <c r="AU22" s="28" t="s">
        <v>438</v>
      </c>
      <c r="AV22" s="51" t="s">
        <v>439</v>
      </c>
      <c r="AW22" s="52" t="s">
        <v>122</v>
      </c>
      <c r="AX22" s="21" t="s">
        <v>246</v>
      </c>
      <c r="AY22" s="54">
        <f t="shared" si="0"/>
        <v>28830000</v>
      </c>
      <c r="AZ22" s="84"/>
      <c r="BA22" s="84"/>
      <c r="BB22" s="84"/>
      <c r="BC22" s="84"/>
      <c r="BD22" s="33" t="s">
        <v>124</v>
      </c>
      <c r="BE22" s="33">
        <v>6</v>
      </c>
      <c r="BF22" s="52" t="s">
        <v>247</v>
      </c>
      <c r="BG22" s="56">
        <v>4805000</v>
      </c>
      <c r="BH22" s="222"/>
      <c r="BI22" s="222"/>
      <c r="BJ22" s="222"/>
      <c r="BK22" s="222"/>
      <c r="BL22" s="222"/>
      <c r="BM22" s="223"/>
      <c r="BN22" s="28" t="s">
        <v>323</v>
      </c>
      <c r="BO22" s="28" t="s">
        <v>324</v>
      </c>
      <c r="BP22" s="32">
        <v>31907790</v>
      </c>
      <c r="BQ22" s="52"/>
      <c r="BR22" s="21" t="s">
        <v>126</v>
      </c>
      <c r="BS22" s="59" t="s">
        <v>127</v>
      </c>
      <c r="BT22" s="60">
        <v>46030</v>
      </c>
      <c r="BU22" s="121">
        <v>4500397400</v>
      </c>
      <c r="BV22" s="62">
        <v>46031</v>
      </c>
      <c r="BW22" s="60">
        <v>46031</v>
      </c>
      <c r="BX22" s="60">
        <v>46031</v>
      </c>
      <c r="BY22" s="64"/>
      <c r="BZ22" s="64"/>
      <c r="CA22" s="64"/>
      <c r="CB22" s="64"/>
      <c r="CC22" s="64"/>
      <c r="CD22" s="64"/>
      <c r="CE22" s="67" t="s">
        <v>440</v>
      </c>
      <c r="CF22" s="224" t="s">
        <v>441</v>
      </c>
      <c r="CG22" s="69" t="s">
        <v>442</v>
      </c>
      <c r="CH22" s="33">
        <v>3122822074</v>
      </c>
      <c r="CI22" s="70" t="s">
        <v>131</v>
      </c>
      <c r="CJ22" s="70">
        <v>1</v>
      </c>
      <c r="CK22" s="70">
        <v>7</v>
      </c>
      <c r="CL22" s="70">
        <v>1983</v>
      </c>
      <c r="CM22" s="71">
        <f t="shared" si="5"/>
        <v>41</v>
      </c>
    </row>
    <row r="23" spans="1:91" ht="31.5" customHeight="1" x14ac:dyDescent="0.25">
      <c r="A23" s="20" t="s">
        <v>91</v>
      </c>
      <c r="B23" s="21" t="s">
        <v>92</v>
      </c>
      <c r="C23" s="21" t="s">
        <v>93</v>
      </c>
      <c r="D23" s="22" t="s">
        <v>94</v>
      </c>
      <c r="E23" s="23" t="s">
        <v>95</v>
      </c>
      <c r="F23" s="24" t="s">
        <v>96</v>
      </c>
      <c r="G23" s="25" t="s">
        <v>97</v>
      </c>
      <c r="H23" s="88" t="s">
        <v>111</v>
      </c>
      <c r="I23" s="27" t="s">
        <v>281</v>
      </c>
      <c r="J23" s="28" t="s">
        <v>323</v>
      </c>
      <c r="K23" s="28" t="s">
        <v>324</v>
      </c>
      <c r="L23" s="26" t="s">
        <v>100</v>
      </c>
      <c r="M23" s="27" t="s">
        <v>99</v>
      </c>
      <c r="N23" s="28"/>
      <c r="O23" s="28"/>
      <c r="P23" s="28" t="s">
        <v>150</v>
      </c>
      <c r="Q23" s="28"/>
      <c r="R23" s="141"/>
      <c r="S23" s="30"/>
      <c r="T23" s="32"/>
      <c r="U23" s="32" t="s">
        <v>102</v>
      </c>
      <c r="V23" s="33">
        <v>3700028004</v>
      </c>
      <c r="W23" s="34">
        <v>46027</v>
      </c>
      <c r="X23" s="35">
        <v>1531992000</v>
      </c>
      <c r="Y23" s="31" t="s">
        <v>103</v>
      </c>
      <c r="Z23" s="36" t="s">
        <v>217</v>
      </c>
      <c r="AA23" s="37">
        <v>20115</v>
      </c>
      <c r="AB23" s="38" t="s">
        <v>234</v>
      </c>
      <c r="AC23" s="39" t="s">
        <v>251</v>
      </c>
      <c r="AD23" s="40" t="s">
        <v>252</v>
      </c>
      <c r="AE23" s="152" t="s">
        <v>253</v>
      </c>
      <c r="AF23" s="33"/>
      <c r="AG23" s="33" t="s">
        <v>102</v>
      </c>
      <c r="AH23" s="33" t="s">
        <v>443</v>
      </c>
      <c r="AI23" s="37" t="s">
        <v>444</v>
      </c>
      <c r="AJ23" s="42" t="s">
        <v>445</v>
      </c>
      <c r="AK23" s="43" t="s">
        <v>446</v>
      </c>
      <c r="AL23" s="44">
        <v>9</v>
      </c>
      <c r="AM23" s="33"/>
      <c r="AN23" s="205" t="s">
        <v>113</v>
      </c>
      <c r="AO23" s="46" t="s">
        <v>258</v>
      </c>
      <c r="AP23" s="46" t="s">
        <v>447</v>
      </c>
      <c r="AQ23" s="225" t="s">
        <v>260</v>
      </c>
      <c r="AR23" s="143" t="s">
        <v>260</v>
      </c>
      <c r="AS23" s="94" t="s">
        <v>448</v>
      </c>
      <c r="AT23" s="49" t="s">
        <v>262</v>
      </c>
      <c r="AU23" s="28" t="s">
        <v>449</v>
      </c>
      <c r="AV23" s="51" t="s">
        <v>450</v>
      </c>
      <c r="AW23" s="52" t="s">
        <v>122</v>
      </c>
      <c r="AX23" s="21" t="s">
        <v>265</v>
      </c>
      <c r="AY23" s="54">
        <f t="shared" si="0"/>
        <v>21306000</v>
      </c>
      <c r="AZ23" s="55"/>
      <c r="BA23" s="55"/>
      <c r="BB23" s="55"/>
      <c r="BC23" s="55"/>
      <c r="BD23" s="33" t="s">
        <v>124</v>
      </c>
      <c r="BE23" s="33">
        <v>6</v>
      </c>
      <c r="BF23" s="52" t="s">
        <v>266</v>
      </c>
      <c r="BG23" s="56">
        <v>3551000</v>
      </c>
      <c r="BH23" s="33"/>
      <c r="BI23" s="33"/>
      <c r="BJ23" s="33"/>
      <c r="BK23" s="33"/>
      <c r="BL23" s="33"/>
      <c r="BM23" s="22"/>
      <c r="BN23" s="28" t="s">
        <v>323</v>
      </c>
      <c r="BO23" s="28" t="s">
        <v>324</v>
      </c>
      <c r="BP23" s="32">
        <v>31907790</v>
      </c>
      <c r="BQ23" s="52"/>
      <c r="BR23" s="21" t="s">
        <v>126</v>
      </c>
      <c r="BS23" s="59" t="s">
        <v>127</v>
      </c>
      <c r="BT23" s="60">
        <v>46030</v>
      </c>
      <c r="BU23" s="121">
        <v>4500397406</v>
      </c>
      <c r="BV23" s="62">
        <v>46031</v>
      </c>
      <c r="BW23" s="60">
        <v>46031</v>
      </c>
      <c r="BX23" s="60">
        <v>46031</v>
      </c>
      <c r="BY23" s="64"/>
      <c r="BZ23" s="64"/>
      <c r="CA23" s="64"/>
      <c r="CB23" s="64"/>
      <c r="CC23" s="64"/>
      <c r="CD23" s="64"/>
      <c r="CE23" s="67" t="s">
        <v>451</v>
      </c>
      <c r="CF23" s="68" t="s">
        <v>452</v>
      </c>
      <c r="CG23" s="69" t="s">
        <v>453</v>
      </c>
      <c r="CH23" s="33">
        <v>3043397784</v>
      </c>
      <c r="CI23" s="70" t="s">
        <v>131</v>
      </c>
      <c r="CJ23" s="70">
        <v>1</v>
      </c>
      <c r="CK23" s="70">
        <v>1</v>
      </c>
      <c r="CL23" s="70">
        <v>1979</v>
      </c>
      <c r="CM23" s="71">
        <f t="shared" si="5"/>
        <v>45</v>
      </c>
    </row>
    <row r="24" spans="1:91" ht="33" customHeight="1" x14ac:dyDescent="0.25">
      <c r="A24" s="20" t="s">
        <v>91</v>
      </c>
      <c r="B24" s="21" t="s">
        <v>92</v>
      </c>
      <c r="C24" s="21" t="s">
        <v>93</v>
      </c>
      <c r="D24" s="22" t="s">
        <v>94</v>
      </c>
      <c r="E24" s="23" t="s">
        <v>95</v>
      </c>
      <c r="F24" s="24" t="s">
        <v>96</v>
      </c>
      <c r="G24" s="25" t="s">
        <v>97</v>
      </c>
      <c r="H24" s="88" t="s">
        <v>111</v>
      </c>
      <c r="I24" s="27" t="s">
        <v>281</v>
      </c>
      <c r="J24" s="28" t="s">
        <v>323</v>
      </c>
      <c r="K24" s="28" t="s">
        <v>324</v>
      </c>
      <c r="L24" s="26" t="s">
        <v>100</v>
      </c>
      <c r="M24" s="27" t="s">
        <v>99</v>
      </c>
      <c r="N24" s="141"/>
      <c r="O24" s="141"/>
      <c r="P24" s="141" t="s">
        <v>150</v>
      </c>
      <c r="Q24" s="141"/>
      <c r="R24" s="141"/>
      <c r="S24" s="147"/>
      <c r="T24" s="32"/>
      <c r="U24" s="32" t="s">
        <v>102</v>
      </c>
      <c r="V24" s="33">
        <v>3700028004</v>
      </c>
      <c r="W24" s="34">
        <v>46027</v>
      </c>
      <c r="X24" s="35">
        <v>1531992000</v>
      </c>
      <c r="Y24" s="31" t="s">
        <v>103</v>
      </c>
      <c r="Z24" s="36" t="s">
        <v>104</v>
      </c>
      <c r="AA24" s="37">
        <v>20115</v>
      </c>
      <c r="AB24" s="38" t="s">
        <v>151</v>
      </c>
      <c r="AC24" s="39" t="s">
        <v>106</v>
      </c>
      <c r="AD24" s="42" t="s">
        <v>107</v>
      </c>
      <c r="AE24" s="41" t="s">
        <v>108</v>
      </c>
      <c r="AF24" s="33" t="s">
        <v>102</v>
      </c>
      <c r="AG24" s="33"/>
      <c r="AH24" s="33" t="s">
        <v>454</v>
      </c>
      <c r="AI24" s="37" t="s">
        <v>455</v>
      </c>
      <c r="AJ24" s="42" t="s">
        <v>456</v>
      </c>
      <c r="AK24" s="78" t="s">
        <v>457</v>
      </c>
      <c r="AL24" s="44"/>
      <c r="AM24" s="33"/>
      <c r="AN24" s="205" t="s">
        <v>113</v>
      </c>
      <c r="AO24" s="46" t="s">
        <v>458</v>
      </c>
      <c r="AP24" s="46" t="s">
        <v>459</v>
      </c>
      <c r="AQ24" s="47" t="s">
        <v>116</v>
      </c>
      <c r="AR24" s="226" t="s">
        <v>460</v>
      </c>
      <c r="AS24" s="94" t="s">
        <v>461</v>
      </c>
      <c r="AT24" s="49" t="s">
        <v>462</v>
      </c>
      <c r="AU24" s="28" t="s">
        <v>463</v>
      </c>
      <c r="AV24" s="51" t="s">
        <v>464</v>
      </c>
      <c r="AW24" s="52" t="s">
        <v>398</v>
      </c>
      <c r="AX24" s="21" t="s">
        <v>465</v>
      </c>
      <c r="AY24" s="54">
        <f t="shared" si="0"/>
        <v>28144000</v>
      </c>
      <c r="AZ24" s="55"/>
      <c r="BA24" s="55"/>
      <c r="BB24" s="55"/>
      <c r="BC24" s="55"/>
      <c r="BD24" s="33" t="s">
        <v>400</v>
      </c>
      <c r="BE24" s="33">
        <v>4</v>
      </c>
      <c r="BF24" s="52" t="s">
        <v>466</v>
      </c>
      <c r="BG24" s="56">
        <v>7036000</v>
      </c>
      <c r="BH24" s="57"/>
      <c r="BI24" s="57"/>
      <c r="BJ24" s="57"/>
      <c r="BK24" s="57"/>
      <c r="BL24" s="57"/>
      <c r="BM24" s="58"/>
      <c r="BN24" s="28" t="s">
        <v>323</v>
      </c>
      <c r="BO24" s="28" t="s">
        <v>324</v>
      </c>
      <c r="BP24" s="32">
        <v>31907790</v>
      </c>
      <c r="BQ24" s="52"/>
      <c r="BR24" s="21" t="s">
        <v>126</v>
      </c>
      <c r="BS24" s="59" t="s">
        <v>127</v>
      </c>
      <c r="BT24" s="60">
        <v>46031</v>
      </c>
      <c r="BU24" s="85">
        <v>4500397416</v>
      </c>
      <c r="BV24" s="62">
        <v>46031</v>
      </c>
      <c r="BW24" s="60">
        <v>46032</v>
      </c>
      <c r="BX24" s="60">
        <v>46032</v>
      </c>
      <c r="BY24" s="64"/>
      <c r="BZ24" s="64"/>
      <c r="CA24" s="64"/>
      <c r="CB24" s="64"/>
      <c r="CC24" s="64"/>
      <c r="CD24" s="64"/>
      <c r="CE24" s="97" t="s">
        <v>467</v>
      </c>
      <c r="CF24" s="33" t="s">
        <v>468</v>
      </c>
      <c r="CG24" s="88" t="s">
        <v>469</v>
      </c>
      <c r="CH24" s="33">
        <v>3162523050</v>
      </c>
      <c r="CI24" s="31" t="s">
        <v>131</v>
      </c>
      <c r="CJ24" s="71">
        <v>14</v>
      </c>
      <c r="CK24" s="71">
        <v>5</v>
      </c>
      <c r="CL24" s="71">
        <v>1972</v>
      </c>
      <c r="CM24" s="71">
        <f t="shared" si="5"/>
        <v>52</v>
      </c>
    </row>
    <row r="25" spans="1:91" ht="33" customHeight="1" x14ac:dyDescent="0.25">
      <c r="A25" s="20" t="s">
        <v>91</v>
      </c>
      <c r="B25" s="21" t="s">
        <v>92</v>
      </c>
      <c r="C25" s="21" t="s">
        <v>93</v>
      </c>
      <c r="D25" s="22" t="s">
        <v>94</v>
      </c>
      <c r="E25" s="23" t="s">
        <v>95</v>
      </c>
      <c r="F25" s="24" t="s">
        <v>96</v>
      </c>
      <c r="G25" s="25" t="s">
        <v>97</v>
      </c>
      <c r="H25" s="88" t="s">
        <v>111</v>
      </c>
      <c r="I25" s="27" t="s">
        <v>281</v>
      </c>
      <c r="J25" s="28" t="s">
        <v>323</v>
      </c>
      <c r="K25" s="28" t="s">
        <v>324</v>
      </c>
      <c r="L25" s="26" t="s">
        <v>100</v>
      </c>
      <c r="M25" s="27" t="s">
        <v>99</v>
      </c>
      <c r="N25" s="141"/>
      <c r="O25" s="141"/>
      <c r="P25" s="141" t="s">
        <v>150</v>
      </c>
      <c r="Q25" s="141"/>
      <c r="R25" s="141"/>
      <c r="S25" s="30"/>
      <c r="T25" s="75"/>
      <c r="U25" s="32" t="s">
        <v>102</v>
      </c>
      <c r="V25" s="33">
        <v>3700028004</v>
      </c>
      <c r="W25" s="34">
        <v>46027</v>
      </c>
      <c r="X25" s="35">
        <v>1531992000</v>
      </c>
      <c r="Y25" s="31" t="s">
        <v>103</v>
      </c>
      <c r="Z25" s="36" t="s">
        <v>104</v>
      </c>
      <c r="AA25" s="37">
        <v>20115</v>
      </c>
      <c r="AB25" s="38" t="s">
        <v>151</v>
      </c>
      <c r="AC25" s="39" t="s">
        <v>106</v>
      </c>
      <c r="AD25" s="76" t="s">
        <v>107</v>
      </c>
      <c r="AE25" s="41" t="s">
        <v>152</v>
      </c>
      <c r="AF25" s="33" t="s">
        <v>102</v>
      </c>
      <c r="AG25" s="33"/>
      <c r="AH25" s="33" t="s">
        <v>470</v>
      </c>
      <c r="AI25" s="37" t="s">
        <v>471</v>
      </c>
      <c r="AJ25" s="42" t="s">
        <v>472</v>
      </c>
      <c r="AK25" s="78" t="s">
        <v>473</v>
      </c>
      <c r="AL25" s="33"/>
      <c r="AM25" s="33"/>
      <c r="AN25" s="205" t="s">
        <v>113</v>
      </c>
      <c r="AO25" s="227" t="s">
        <v>474</v>
      </c>
      <c r="AP25" s="46" t="s">
        <v>475</v>
      </c>
      <c r="AQ25" s="47" t="s">
        <v>116</v>
      </c>
      <c r="AR25" s="47" t="s">
        <v>476</v>
      </c>
      <c r="AS25" s="49" t="s">
        <v>477</v>
      </c>
      <c r="AT25" s="49" t="s">
        <v>437</v>
      </c>
      <c r="AU25" s="28" t="s">
        <v>478</v>
      </c>
      <c r="AV25" s="51" t="s">
        <v>479</v>
      </c>
      <c r="AW25" s="52" t="s">
        <v>398</v>
      </c>
      <c r="AX25" s="21" t="s">
        <v>246</v>
      </c>
      <c r="AY25" s="54">
        <f t="shared" si="0"/>
        <v>28830000</v>
      </c>
      <c r="AZ25" s="84"/>
      <c r="BA25" s="84"/>
      <c r="BB25" s="84"/>
      <c r="BC25" s="84"/>
      <c r="BD25" s="33" t="s">
        <v>124</v>
      </c>
      <c r="BE25" s="33">
        <v>6</v>
      </c>
      <c r="BF25" s="52" t="s">
        <v>247</v>
      </c>
      <c r="BG25" s="56">
        <v>4805000</v>
      </c>
      <c r="BH25" s="57"/>
      <c r="BI25" s="57"/>
      <c r="BJ25" s="57"/>
      <c r="BK25" s="57"/>
      <c r="BL25" s="57"/>
      <c r="BM25" s="58"/>
      <c r="BN25" s="28" t="s">
        <v>323</v>
      </c>
      <c r="BO25" s="28" t="s">
        <v>324</v>
      </c>
      <c r="BP25" s="32">
        <v>31907790</v>
      </c>
      <c r="BQ25" s="52"/>
      <c r="BR25" s="21" t="s">
        <v>126</v>
      </c>
      <c r="BS25" s="59" t="s">
        <v>127</v>
      </c>
      <c r="BT25" s="60">
        <v>46030</v>
      </c>
      <c r="BU25" s="85">
        <v>4500397421</v>
      </c>
      <c r="BV25" s="62">
        <v>46031</v>
      </c>
      <c r="BW25" s="60">
        <v>46031</v>
      </c>
      <c r="BX25" s="60">
        <v>46031</v>
      </c>
      <c r="BY25" s="64"/>
      <c r="BZ25" s="64"/>
      <c r="CA25" s="64"/>
      <c r="CB25" s="64"/>
      <c r="CC25" s="64"/>
      <c r="CD25" s="64"/>
      <c r="CE25" s="97" t="s">
        <v>480</v>
      </c>
      <c r="CF25" s="31" t="s">
        <v>481</v>
      </c>
      <c r="CG25" s="188" t="s">
        <v>482</v>
      </c>
      <c r="CH25" s="33">
        <v>3013443922</v>
      </c>
      <c r="CI25" s="71" t="s">
        <v>131</v>
      </c>
      <c r="CJ25" s="71">
        <v>20</v>
      </c>
      <c r="CK25" s="71">
        <v>8</v>
      </c>
      <c r="CL25" s="71">
        <v>1989</v>
      </c>
      <c r="CM25" s="71">
        <f t="shared" si="5"/>
        <v>35</v>
      </c>
    </row>
    <row r="26" spans="1:91" ht="33" customHeight="1" x14ac:dyDescent="0.25">
      <c r="A26" s="20" t="s">
        <v>91</v>
      </c>
      <c r="B26" s="21" t="s">
        <v>92</v>
      </c>
      <c r="C26" s="21" t="s">
        <v>93</v>
      </c>
      <c r="D26" s="22" t="s">
        <v>94</v>
      </c>
      <c r="E26" s="23" t="s">
        <v>95</v>
      </c>
      <c r="F26" s="24" t="s">
        <v>96</v>
      </c>
      <c r="G26" s="25" t="s">
        <v>97</v>
      </c>
      <c r="H26" s="88" t="s">
        <v>111</v>
      </c>
      <c r="I26" s="27" t="s">
        <v>281</v>
      </c>
      <c r="J26" s="28" t="s">
        <v>323</v>
      </c>
      <c r="K26" s="28" t="s">
        <v>324</v>
      </c>
      <c r="L26" s="26" t="s">
        <v>100</v>
      </c>
      <c r="M26" s="27" t="s">
        <v>99</v>
      </c>
      <c r="N26" s="141"/>
      <c r="O26" s="141"/>
      <c r="P26" s="141" t="s">
        <v>150</v>
      </c>
      <c r="Q26" s="141"/>
      <c r="R26" s="141"/>
      <c r="S26" s="69"/>
      <c r="T26" s="75"/>
      <c r="U26" s="32" t="s">
        <v>102</v>
      </c>
      <c r="V26" s="33">
        <v>3700028004</v>
      </c>
      <c r="W26" s="34">
        <v>46027</v>
      </c>
      <c r="X26" s="35">
        <v>1531992000</v>
      </c>
      <c r="Y26" s="31" t="s">
        <v>103</v>
      </c>
      <c r="Z26" s="36" t="s">
        <v>217</v>
      </c>
      <c r="AA26" s="37">
        <v>20115</v>
      </c>
      <c r="AB26" s="38" t="s">
        <v>234</v>
      </c>
      <c r="AC26" s="39" t="s">
        <v>251</v>
      </c>
      <c r="AD26" s="40" t="s">
        <v>252</v>
      </c>
      <c r="AE26" s="152" t="s">
        <v>282</v>
      </c>
      <c r="AF26" s="33"/>
      <c r="AG26" s="33" t="s">
        <v>102</v>
      </c>
      <c r="AH26" s="33" t="s">
        <v>483</v>
      </c>
      <c r="AI26" s="37" t="s">
        <v>484</v>
      </c>
      <c r="AJ26" s="212" t="s">
        <v>485</v>
      </c>
      <c r="AK26" s="43" t="s">
        <v>486</v>
      </c>
      <c r="AL26" s="92">
        <v>1</v>
      </c>
      <c r="AM26" s="33"/>
      <c r="AN26" s="205" t="s">
        <v>113</v>
      </c>
      <c r="AO26" s="46" t="s">
        <v>287</v>
      </c>
      <c r="AP26" s="46" t="s">
        <v>487</v>
      </c>
      <c r="AQ26" s="143" t="s">
        <v>260</v>
      </c>
      <c r="AR26" s="143" t="s">
        <v>260</v>
      </c>
      <c r="AS26" s="82" t="s">
        <v>488</v>
      </c>
      <c r="AT26" s="49" t="s">
        <v>304</v>
      </c>
      <c r="AU26" s="28" t="s">
        <v>489</v>
      </c>
      <c r="AV26" s="51" t="s">
        <v>490</v>
      </c>
      <c r="AW26" s="52" t="s">
        <v>122</v>
      </c>
      <c r="AX26" s="21" t="s">
        <v>307</v>
      </c>
      <c r="AY26" s="54">
        <f t="shared" si="0"/>
        <v>16752000</v>
      </c>
      <c r="AZ26" s="84"/>
      <c r="BA26" s="84"/>
      <c r="BB26" s="84"/>
      <c r="BC26" s="84"/>
      <c r="BD26" s="33" t="s">
        <v>124</v>
      </c>
      <c r="BE26" s="33">
        <v>6</v>
      </c>
      <c r="BF26" s="52" t="s">
        <v>308</v>
      </c>
      <c r="BG26" s="56">
        <v>2792000</v>
      </c>
      <c r="BH26" s="228"/>
      <c r="BI26" s="228"/>
      <c r="BJ26" s="228"/>
      <c r="BK26" s="228"/>
      <c r="BL26" s="228"/>
      <c r="BM26" s="57"/>
      <c r="BN26" s="28" t="s">
        <v>323</v>
      </c>
      <c r="BO26" s="28" t="s">
        <v>324</v>
      </c>
      <c r="BP26" s="32">
        <v>31907790</v>
      </c>
      <c r="BQ26" s="52"/>
      <c r="BR26" s="21" t="s">
        <v>126</v>
      </c>
      <c r="BS26" s="59" t="s">
        <v>127</v>
      </c>
      <c r="BT26" s="60">
        <v>46030</v>
      </c>
      <c r="BU26" s="85">
        <v>4500397429</v>
      </c>
      <c r="BV26" s="62">
        <v>46031</v>
      </c>
      <c r="BW26" s="60">
        <v>46031</v>
      </c>
      <c r="BX26" s="60">
        <v>46031</v>
      </c>
      <c r="BY26" s="64"/>
      <c r="BZ26" s="64"/>
      <c r="CA26" s="64"/>
      <c r="CB26" s="64"/>
      <c r="CC26" s="64"/>
      <c r="CD26" s="64"/>
      <c r="CE26" s="67" t="s">
        <v>491</v>
      </c>
      <c r="CF26" s="68" t="s">
        <v>492</v>
      </c>
      <c r="CG26" s="69" t="s">
        <v>493</v>
      </c>
      <c r="CH26" s="33">
        <v>3187108314</v>
      </c>
      <c r="CI26" s="70" t="s">
        <v>131</v>
      </c>
      <c r="CJ26" s="70">
        <v>19</v>
      </c>
      <c r="CK26" s="70">
        <v>11</v>
      </c>
      <c r="CL26" s="70">
        <v>1981</v>
      </c>
      <c r="CM26" s="71">
        <f t="shared" si="5"/>
        <v>43</v>
      </c>
    </row>
    <row r="27" spans="1:91" ht="33" customHeight="1" x14ac:dyDescent="0.25">
      <c r="A27" s="20" t="s">
        <v>91</v>
      </c>
      <c r="B27" s="21" t="s">
        <v>92</v>
      </c>
      <c r="C27" s="21" t="s">
        <v>93</v>
      </c>
      <c r="D27" s="22" t="s">
        <v>94</v>
      </c>
      <c r="E27" s="23" t="s">
        <v>95</v>
      </c>
      <c r="F27" s="24" t="s">
        <v>96</v>
      </c>
      <c r="G27" s="25" t="s">
        <v>97</v>
      </c>
      <c r="H27" s="88" t="s">
        <v>111</v>
      </c>
      <c r="I27" s="27" t="s">
        <v>281</v>
      </c>
      <c r="J27" s="28" t="s">
        <v>323</v>
      </c>
      <c r="K27" s="28" t="s">
        <v>324</v>
      </c>
      <c r="L27" s="26" t="s">
        <v>100</v>
      </c>
      <c r="M27" s="27" t="s">
        <v>99</v>
      </c>
      <c r="N27" s="28"/>
      <c r="O27" s="28"/>
      <c r="P27" s="28" t="s">
        <v>150</v>
      </c>
      <c r="Q27" s="28"/>
      <c r="R27" s="141"/>
      <c r="S27" s="75"/>
      <c r="T27" s="32"/>
      <c r="U27" s="32" t="s">
        <v>102</v>
      </c>
      <c r="V27" s="33">
        <v>3700028004</v>
      </c>
      <c r="W27" s="34">
        <v>46027</v>
      </c>
      <c r="X27" s="35">
        <v>1531992000</v>
      </c>
      <c r="Y27" s="31" t="s">
        <v>103</v>
      </c>
      <c r="Z27" s="36" t="s">
        <v>217</v>
      </c>
      <c r="AA27" s="37">
        <v>20115</v>
      </c>
      <c r="AB27" s="38" t="s">
        <v>105</v>
      </c>
      <c r="AC27" s="39" t="s">
        <v>251</v>
      </c>
      <c r="AD27" s="40" t="s">
        <v>252</v>
      </c>
      <c r="AE27" s="152" t="s">
        <v>253</v>
      </c>
      <c r="AF27" s="33"/>
      <c r="AG27" s="33" t="s">
        <v>102</v>
      </c>
      <c r="AH27" s="33" t="s">
        <v>494</v>
      </c>
      <c r="AI27" s="37" t="s">
        <v>495</v>
      </c>
      <c r="AJ27" s="212" t="s">
        <v>496</v>
      </c>
      <c r="AK27" s="43" t="s">
        <v>497</v>
      </c>
      <c r="AL27" s="44"/>
      <c r="AM27" s="33"/>
      <c r="AN27" s="45" t="s">
        <v>373</v>
      </c>
      <c r="AO27" s="46" t="s">
        <v>393</v>
      </c>
      <c r="AP27" s="46" t="s">
        <v>498</v>
      </c>
      <c r="AQ27" s="143" t="s">
        <v>260</v>
      </c>
      <c r="AR27" s="143" t="s">
        <v>260</v>
      </c>
      <c r="AS27" s="94" t="s">
        <v>499</v>
      </c>
      <c r="AT27" s="49" t="s">
        <v>262</v>
      </c>
      <c r="AU27" s="28" t="s">
        <v>500</v>
      </c>
      <c r="AV27" s="51" t="s">
        <v>501</v>
      </c>
      <c r="AW27" s="52" t="s">
        <v>122</v>
      </c>
      <c r="AX27" s="21" t="s">
        <v>399</v>
      </c>
      <c r="AY27" s="54">
        <f t="shared" si="0"/>
        <v>14204000</v>
      </c>
      <c r="AZ27" s="55"/>
      <c r="BA27" s="55"/>
      <c r="BB27" s="55"/>
      <c r="BC27" s="55"/>
      <c r="BD27" s="33" t="s">
        <v>400</v>
      </c>
      <c r="BE27" s="33">
        <v>4</v>
      </c>
      <c r="BF27" s="52" t="s">
        <v>266</v>
      </c>
      <c r="BG27" s="56">
        <v>3551000</v>
      </c>
      <c r="BH27" s="228"/>
      <c r="BI27" s="228"/>
      <c r="BJ27" s="228"/>
      <c r="BK27" s="228"/>
      <c r="BL27" s="228"/>
      <c r="BM27" s="22"/>
      <c r="BN27" s="28" t="s">
        <v>323</v>
      </c>
      <c r="BO27" s="28" t="s">
        <v>324</v>
      </c>
      <c r="BP27" s="32">
        <v>31907790</v>
      </c>
      <c r="BQ27" s="52"/>
      <c r="BR27" s="21" t="s">
        <v>126</v>
      </c>
      <c r="BS27" s="59" t="s">
        <v>127</v>
      </c>
      <c r="BT27" s="60">
        <v>46036</v>
      </c>
      <c r="BU27" s="85">
        <v>4500402119</v>
      </c>
      <c r="BV27" s="62">
        <v>46037</v>
      </c>
      <c r="BW27" s="60">
        <v>46037</v>
      </c>
      <c r="BX27" s="60">
        <v>46037</v>
      </c>
      <c r="BY27" s="64"/>
      <c r="BZ27" s="64"/>
      <c r="CA27" s="64"/>
      <c r="CB27" s="64"/>
      <c r="CC27" s="64"/>
      <c r="CD27" s="64"/>
      <c r="CE27" s="67" t="s">
        <v>502</v>
      </c>
      <c r="CF27" s="125" t="s">
        <v>503</v>
      </c>
      <c r="CG27" s="69" t="s">
        <v>504</v>
      </c>
      <c r="CH27" s="33">
        <v>3053273376</v>
      </c>
      <c r="CI27" s="70" t="s">
        <v>131</v>
      </c>
      <c r="CJ27" s="70">
        <v>11</v>
      </c>
      <c r="CK27" s="70">
        <v>1</v>
      </c>
      <c r="CL27" s="70">
        <v>1986</v>
      </c>
      <c r="CM27" s="71">
        <f t="shared" si="5"/>
        <v>38</v>
      </c>
    </row>
    <row r="28" spans="1:91" ht="33" customHeight="1" x14ac:dyDescent="0.25">
      <c r="A28" s="20" t="s">
        <v>91</v>
      </c>
      <c r="B28" s="21" t="s">
        <v>92</v>
      </c>
      <c r="C28" s="21" t="s">
        <v>93</v>
      </c>
      <c r="D28" s="22" t="s">
        <v>94</v>
      </c>
      <c r="E28" s="23" t="s">
        <v>95</v>
      </c>
      <c r="F28" s="24" t="s">
        <v>96</v>
      </c>
      <c r="G28" s="25" t="s">
        <v>97</v>
      </c>
      <c r="H28" s="88" t="s">
        <v>111</v>
      </c>
      <c r="I28" s="27" t="s">
        <v>281</v>
      </c>
      <c r="J28" s="28" t="s">
        <v>323</v>
      </c>
      <c r="K28" s="28" t="s">
        <v>324</v>
      </c>
      <c r="L28" s="26" t="s">
        <v>100</v>
      </c>
      <c r="M28" s="27" t="s">
        <v>99</v>
      </c>
      <c r="N28" s="28"/>
      <c r="O28" s="28"/>
      <c r="P28" s="28" t="s">
        <v>150</v>
      </c>
      <c r="Q28" s="28"/>
      <c r="R28" s="28"/>
      <c r="S28" s="69"/>
      <c r="T28" s="32"/>
      <c r="U28" s="33" t="s">
        <v>102</v>
      </c>
      <c r="V28" s="33">
        <v>3700028004</v>
      </c>
      <c r="W28" s="34">
        <v>46027</v>
      </c>
      <c r="X28" s="35">
        <v>1531992000</v>
      </c>
      <c r="Y28" s="31" t="s">
        <v>103</v>
      </c>
      <c r="Z28" s="36" t="s">
        <v>217</v>
      </c>
      <c r="AA28" s="37">
        <v>20115</v>
      </c>
      <c r="AB28" s="38" t="s">
        <v>234</v>
      </c>
      <c r="AC28" s="39" t="s">
        <v>251</v>
      </c>
      <c r="AD28" s="40" t="s">
        <v>252</v>
      </c>
      <c r="AE28" s="172" t="s">
        <v>282</v>
      </c>
      <c r="AF28" s="37"/>
      <c r="AG28" s="37" t="s">
        <v>102</v>
      </c>
      <c r="AH28" s="33" t="s">
        <v>505</v>
      </c>
      <c r="AI28" s="37" t="s">
        <v>506</v>
      </c>
      <c r="AJ28" s="212" t="s">
        <v>507</v>
      </c>
      <c r="AK28" s="43" t="s">
        <v>508</v>
      </c>
      <c r="AL28" s="33"/>
      <c r="AM28" s="33"/>
      <c r="AN28" s="45" t="s">
        <v>113</v>
      </c>
      <c r="AO28" s="46" t="s">
        <v>509</v>
      </c>
      <c r="AP28" s="46" t="s">
        <v>510</v>
      </c>
      <c r="AQ28" s="143" t="s">
        <v>260</v>
      </c>
      <c r="AR28" s="143" t="s">
        <v>260</v>
      </c>
      <c r="AS28" s="82" t="s">
        <v>511</v>
      </c>
      <c r="AT28" s="49" t="s">
        <v>304</v>
      </c>
      <c r="AU28" s="28" t="s">
        <v>512</v>
      </c>
      <c r="AV28" s="187" t="s">
        <v>513</v>
      </c>
      <c r="AW28" s="52" t="s">
        <v>122</v>
      </c>
      <c r="AX28" s="21" t="s">
        <v>307</v>
      </c>
      <c r="AY28" s="54">
        <f t="shared" si="0"/>
        <v>16752000</v>
      </c>
      <c r="AZ28" s="84"/>
      <c r="BA28" s="84"/>
      <c r="BB28" s="84"/>
      <c r="BC28" s="84"/>
      <c r="BD28" s="33" t="s">
        <v>124</v>
      </c>
      <c r="BE28" s="33">
        <v>6</v>
      </c>
      <c r="BF28" s="52" t="s">
        <v>308</v>
      </c>
      <c r="BG28" s="56">
        <v>2792000</v>
      </c>
      <c r="BH28" s="57"/>
      <c r="BI28" s="57"/>
      <c r="BJ28" s="57"/>
      <c r="BK28" s="57"/>
      <c r="BL28" s="57"/>
      <c r="BM28" s="96"/>
      <c r="BN28" s="28" t="s">
        <v>323</v>
      </c>
      <c r="BO28" s="28" t="s">
        <v>324</v>
      </c>
      <c r="BP28" s="32">
        <v>31907790</v>
      </c>
      <c r="BQ28" s="52"/>
      <c r="BR28" s="21" t="s">
        <v>126</v>
      </c>
      <c r="BS28" s="59" t="s">
        <v>127</v>
      </c>
      <c r="BT28" s="60">
        <v>46031</v>
      </c>
      <c r="BU28" s="85">
        <v>4500399371</v>
      </c>
      <c r="BV28" s="62">
        <v>46035</v>
      </c>
      <c r="BW28" s="60">
        <v>46035</v>
      </c>
      <c r="BX28" s="60">
        <v>46035</v>
      </c>
      <c r="BY28" s="64"/>
      <c r="BZ28" s="64"/>
      <c r="CA28" s="64"/>
      <c r="CB28" s="64"/>
      <c r="CC28" s="64"/>
      <c r="CD28" s="64"/>
      <c r="CE28" s="67" t="s">
        <v>514</v>
      </c>
      <c r="CF28" s="229" t="s">
        <v>515</v>
      </c>
      <c r="CG28" s="69" t="s">
        <v>516</v>
      </c>
      <c r="CH28" s="33">
        <v>3122438699</v>
      </c>
      <c r="CI28" s="70" t="s">
        <v>131</v>
      </c>
      <c r="CJ28" s="70">
        <v>25</v>
      </c>
      <c r="CK28" s="70">
        <v>1</v>
      </c>
      <c r="CL28" s="70">
        <v>1976</v>
      </c>
      <c r="CM28" s="71">
        <f t="shared" si="5"/>
        <v>48</v>
      </c>
    </row>
    <row r="29" spans="1:91" ht="33" customHeight="1" x14ac:dyDescent="0.25">
      <c r="A29" s="98" t="s">
        <v>91</v>
      </c>
      <c r="B29" s="99" t="s">
        <v>92</v>
      </c>
      <c r="C29" s="99" t="s">
        <v>93</v>
      </c>
      <c r="D29" s="131" t="s">
        <v>94</v>
      </c>
      <c r="E29" s="100" t="s">
        <v>95</v>
      </c>
      <c r="F29" s="101" t="s">
        <v>96</v>
      </c>
      <c r="G29" s="102" t="s">
        <v>97</v>
      </c>
      <c r="H29" s="230" t="s">
        <v>111</v>
      </c>
      <c r="I29" s="231" t="s">
        <v>281</v>
      </c>
      <c r="J29" s="104" t="s">
        <v>323</v>
      </c>
      <c r="K29" s="104" t="s">
        <v>324</v>
      </c>
      <c r="L29" s="26" t="s">
        <v>100</v>
      </c>
      <c r="M29" s="27" t="s">
        <v>99</v>
      </c>
      <c r="N29" s="103"/>
      <c r="O29" s="103"/>
      <c r="P29" s="104" t="s">
        <v>150</v>
      </c>
      <c r="Q29" s="104"/>
      <c r="R29" s="232"/>
      <c r="S29" s="233"/>
      <c r="T29" s="234"/>
      <c r="U29" s="108" t="s">
        <v>102</v>
      </c>
      <c r="V29" s="33">
        <v>3700028004</v>
      </c>
      <c r="W29" s="34">
        <v>46027</v>
      </c>
      <c r="X29" s="35">
        <v>1531992000</v>
      </c>
      <c r="Y29" s="31" t="s">
        <v>103</v>
      </c>
      <c r="Z29" s="36" t="s">
        <v>104</v>
      </c>
      <c r="AA29" s="37">
        <v>20115</v>
      </c>
      <c r="AB29" s="38" t="s">
        <v>105</v>
      </c>
      <c r="AC29" s="39" t="s">
        <v>106</v>
      </c>
      <c r="AD29" s="76" t="s">
        <v>107</v>
      </c>
      <c r="AE29" s="91" t="s">
        <v>108</v>
      </c>
      <c r="AF29" s="37"/>
      <c r="AG29" s="37" t="s">
        <v>102</v>
      </c>
      <c r="AH29" s="33" t="s">
        <v>517</v>
      </c>
      <c r="AI29" s="37" t="s">
        <v>518</v>
      </c>
      <c r="AJ29" s="52" t="s">
        <v>519</v>
      </c>
      <c r="AK29" s="132" t="s">
        <v>520</v>
      </c>
      <c r="AL29" s="235"/>
      <c r="AM29" s="33"/>
      <c r="AN29" s="205" t="s">
        <v>113</v>
      </c>
      <c r="AO29" s="102" t="s">
        <v>136</v>
      </c>
      <c r="AP29" s="102" t="s">
        <v>521</v>
      </c>
      <c r="AQ29" s="111" t="s">
        <v>116</v>
      </c>
      <c r="AR29" s="236" t="s">
        <v>522</v>
      </c>
      <c r="AS29" s="237" t="s">
        <v>523</v>
      </c>
      <c r="AT29" s="104" t="s">
        <v>462</v>
      </c>
      <c r="AU29" s="102" t="s">
        <v>524</v>
      </c>
      <c r="AV29" s="83" t="s">
        <v>525</v>
      </c>
      <c r="AW29" s="52" t="s">
        <v>122</v>
      </c>
      <c r="AX29" s="99" t="s">
        <v>526</v>
      </c>
      <c r="AY29" s="54">
        <f t="shared" si="0"/>
        <v>42216000</v>
      </c>
      <c r="AZ29" s="238"/>
      <c r="BA29" s="238"/>
      <c r="BB29" s="238"/>
      <c r="BC29" s="238"/>
      <c r="BD29" s="33" t="s">
        <v>124</v>
      </c>
      <c r="BE29" s="33">
        <v>6</v>
      </c>
      <c r="BF29" s="52" t="s">
        <v>466</v>
      </c>
      <c r="BG29" s="56">
        <v>7036000</v>
      </c>
      <c r="BH29" s="118"/>
      <c r="BI29" s="118"/>
      <c r="BJ29" s="118"/>
      <c r="BK29" s="118"/>
      <c r="BL29" s="118"/>
      <c r="BM29" s="119"/>
      <c r="BN29" s="104" t="s">
        <v>323</v>
      </c>
      <c r="BO29" s="104" t="s">
        <v>324</v>
      </c>
      <c r="BP29" s="32">
        <v>31907790</v>
      </c>
      <c r="BQ29" s="39"/>
      <c r="BR29" s="21" t="s">
        <v>126</v>
      </c>
      <c r="BS29" s="59" t="s">
        <v>127</v>
      </c>
      <c r="BT29" s="60">
        <v>46030</v>
      </c>
      <c r="BU29" s="85">
        <v>4500397435</v>
      </c>
      <c r="BV29" s="62">
        <v>46031</v>
      </c>
      <c r="BW29" s="60">
        <v>46032</v>
      </c>
      <c r="BX29" s="60">
        <v>46032</v>
      </c>
      <c r="BY29" s="64"/>
      <c r="BZ29" s="64"/>
      <c r="CA29" s="64"/>
      <c r="CB29" s="64"/>
      <c r="CC29" s="64"/>
      <c r="CD29" s="64"/>
      <c r="CE29" s="67" t="s">
        <v>527</v>
      </c>
      <c r="CF29" s="125" t="s">
        <v>528</v>
      </c>
      <c r="CG29" s="239"/>
      <c r="CH29" s="127">
        <v>3155265358</v>
      </c>
      <c r="CI29" s="239"/>
      <c r="CJ29" s="239"/>
      <c r="CK29" s="239"/>
      <c r="CL29" s="239"/>
      <c r="CM29" s="128"/>
    </row>
    <row r="30" spans="1:91" ht="33" customHeight="1" x14ac:dyDescent="0.25">
      <c r="A30" s="20" t="s">
        <v>91</v>
      </c>
      <c r="B30" s="21" t="s">
        <v>92</v>
      </c>
      <c r="C30" s="21" t="s">
        <v>93</v>
      </c>
      <c r="D30" s="22" t="s">
        <v>94</v>
      </c>
      <c r="E30" s="23" t="s">
        <v>95</v>
      </c>
      <c r="F30" s="24" t="s">
        <v>96</v>
      </c>
      <c r="G30" s="25" t="s">
        <v>97</v>
      </c>
      <c r="H30" s="88" t="s">
        <v>111</v>
      </c>
      <c r="I30" s="27" t="s">
        <v>281</v>
      </c>
      <c r="J30" s="21" t="s">
        <v>93</v>
      </c>
      <c r="K30" s="23" t="s">
        <v>95</v>
      </c>
      <c r="L30" s="26" t="s">
        <v>100</v>
      </c>
      <c r="M30" s="27" t="s">
        <v>99</v>
      </c>
      <c r="N30" s="28"/>
      <c r="O30" s="28"/>
      <c r="P30" s="28" t="s">
        <v>150</v>
      </c>
      <c r="Q30" s="28"/>
      <c r="R30" s="240"/>
      <c r="S30" s="241"/>
      <c r="T30" s="32"/>
      <c r="U30" s="75" t="s">
        <v>102</v>
      </c>
      <c r="V30" s="33">
        <v>3700028004</v>
      </c>
      <c r="W30" s="34">
        <v>46027</v>
      </c>
      <c r="X30" s="35">
        <v>1531992000</v>
      </c>
      <c r="Y30" s="31" t="s">
        <v>103</v>
      </c>
      <c r="Z30" s="36" t="s">
        <v>104</v>
      </c>
      <c r="AA30" s="37">
        <v>20115</v>
      </c>
      <c r="AB30" s="38">
        <v>83619</v>
      </c>
      <c r="AC30" s="39" t="s">
        <v>106</v>
      </c>
      <c r="AD30" s="76" t="s">
        <v>107</v>
      </c>
      <c r="AE30" s="41" t="s">
        <v>108</v>
      </c>
      <c r="AF30" s="33"/>
      <c r="AG30" s="33" t="s">
        <v>102</v>
      </c>
      <c r="AH30" s="33" t="s">
        <v>529</v>
      </c>
      <c r="AI30" s="37" t="s">
        <v>530</v>
      </c>
      <c r="AJ30" s="212" t="s">
        <v>531</v>
      </c>
      <c r="AK30" s="43" t="s">
        <v>532</v>
      </c>
      <c r="AL30" s="242"/>
      <c r="AM30" s="33"/>
      <c r="AN30" s="205" t="s">
        <v>113</v>
      </c>
      <c r="AO30" s="25" t="s">
        <v>533</v>
      </c>
      <c r="AP30" s="243" t="s">
        <v>534</v>
      </c>
      <c r="AQ30" s="143" t="s">
        <v>260</v>
      </c>
      <c r="AR30" s="143" t="s">
        <v>260</v>
      </c>
      <c r="AS30" s="237" t="s">
        <v>535</v>
      </c>
      <c r="AT30" s="244" t="s">
        <v>462</v>
      </c>
      <c r="AU30" s="212" t="s">
        <v>536</v>
      </c>
      <c r="AV30" s="51" t="s">
        <v>537</v>
      </c>
      <c r="AW30" s="52" t="s">
        <v>122</v>
      </c>
      <c r="AX30" s="99" t="s">
        <v>526</v>
      </c>
      <c r="AY30" s="54">
        <f t="shared" si="0"/>
        <v>42216000</v>
      </c>
      <c r="AZ30" s="218"/>
      <c r="BA30" s="218"/>
      <c r="BB30" s="218"/>
      <c r="BC30" s="218"/>
      <c r="BD30" s="33" t="s">
        <v>124</v>
      </c>
      <c r="BE30" s="33">
        <v>6</v>
      </c>
      <c r="BF30" s="52" t="s">
        <v>466</v>
      </c>
      <c r="BG30" s="56">
        <v>7036000</v>
      </c>
      <c r="BH30" s="57"/>
      <c r="BI30" s="57"/>
      <c r="BJ30" s="57"/>
      <c r="BK30" s="57"/>
      <c r="BL30" s="57"/>
      <c r="BM30" s="58"/>
      <c r="BN30" s="90" t="s">
        <v>93</v>
      </c>
      <c r="BO30" s="21" t="s">
        <v>95</v>
      </c>
      <c r="BP30" s="31">
        <v>29180813</v>
      </c>
      <c r="BQ30" s="52"/>
      <c r="BR30" s="21" t="s">
        <v>126</v>
      </c>
      <c r="BS30" s="59" t="s">
        <v>127</v>
      </c>
      <c r="BT30" s="60">
        <v>46030</v>
      </c>
      <c r="BU30" s="85">
        <v>4500397176</v>
      </c>
      <c r="BV30" s="62">
        <v>46031</v>
      </c>
      <c r="BW30" s="60">
        <v>46032</v>
      </c>
      <c r="BX30" s="60">
        <v>46032</v>
      </c>
      <c r="BY30" s="64"/>
      <c r="BZ30" s="64"/>
      <c r="CA30" s="64"/>
      <c r="CB30" s="64"/>
      <c r="CC30" s="64"/>
      <c r="CD30" s="64"/>
      <c r="CE30" s="67" t="s">
        <v>538</v>
      </c>
      <c r="CF30" s="125" t="s">
        <v>539</v>
      </c>
      <c r="CG30" s="245"/>
      <c r="CH30" s="127">
        <v>3108287725</v>
      </c>
      <c r="CI30" s="245"/>
      <c r="CJ30" s="245"/>
      <c r="CK30" s="245"/>
      <c r="CL30" s="245"/>
      <c r="CM30" s="55"/>
    </row>
    <row r="31" spans="1:91" ht="33" customHeight="1" x14ac:dyDescent="0.25">
      <c r="A31" s="20" t="s">
        <v>91</v>
      </c>
      <c r="B31" s="21" t="s">
        <v>92</v>
      </c>
      <c r="C31" s="21" t="s">
        <v>93</v>
      </c>
      <c r="D31" s="22" t="s">
        <v>94</v>
      </c>
      <c r="E31" s="23" t="s">
        <v>95</v>
      </c>
      <c r="F31" s="24" t="s">
        <v>96</v>
      </c>
      <c r="G31" s="25" t="s">
        <v>97</v>
      </c>
      <c r="H31" s="88" t="s">
        <v>111</v>
      </c>
      <c r="I31" s="27" t="s">
        <v>281</v>
      </c>
      <c r="J31" s="90" t="s">
        <v>201</v>
      </c>
      <c r="K31" s="21" t="s">
        <v>202</v>
      </c>
      <c r="L31" s="26" t="s">
        <v>100</v>
      </c>
      <c r="M31" s="27" t="s">
        <v>99</v>
      </c>
      <c r="N31" s="28"/>
      <c r="O31" s="28"/>
      <c r="P31" s="28" t="s">
        <v>186</v>
      </c>
      <c r="Q31" s="28" t="s">
        <v>187</v>
      </c>
      <c r="R31" s="73" t="s">
        <v>188</v>
      </c>
      <c r="S31" s="74" t="s">
        <v>189</v>
      </c>
      <c r="T31" s="31" t="s">
        <v>102</v>
      </c>
      <c r="U31" s="75"/>
      <c r="V31" s="37">
        <v>3500254255</v>
      </c>
      <c r="W31" s="34">
        <v>46027</v>
      </c>
      <c r="X31" s="35">
        <v>962010000</v>
      </c>
      <c r="Y31" s="31" t="s">
        <v>103</v>
      </c>
      <c r="Z31" s="39" t="s">
        <v>190</v>
      </c>
      <c r="AA31" s="37">
        <v>20124</v>
      </c>
      <c r="AB31" s="38" t="s">
        <v>105</v>
      </c>
      <c r="AC31" s="39" t="s">
        <v>106</v>
      </c>
      <c r="AD31" s="40" t="s">
        <v>107</v>
      </c>
      <c r="AE31" s="41" t="s">
        <v>108</v>
      </c>
      <c r="AF31" s="33" t="s">
        <v>102</v>
      </c>
      <c r="AG31" s="33"/>
      <c r="AH31" s="33" t="s">
        <v>540</v>
      </c>
      <c r="AI31" s="37" t="s">
        <v>541</v>
      </c>
      <c r="AJ31" s="246" t="s">
        <v>542</v>
      </c>
      <c r="AK31" s="78" t="s">
        <v>543</v>
      </c>
      <c r="AL31" s="247"/>
      <c r="AM31" s="80"/>
      <c r="AN31" s="45" t="s">
        <v>113</v>
      </c>
      <c r="AO31" s="28" t="s">
        <v>136</v>
      </c>
      <c r="AP31" s="28" t="s">
        <v>544</v>
      </c>
      <c r="AQ31" s="248" t="s">
        <v>116</v>
      </c>
      <c r="AR31" s="249" t="s">
        <v>545</v>
      </c>
      <c r="AS31" s="250" t="s">
        <v>546</v>
      </c>
      <c r="AT31" s="251" t="s">
        <v>119</v>
      </c>
      <c r="AU31" s="214" t="s">
        <v>547</v>
      </c>
      <c r="AV31" s="83" t="s">
        <v>548</v>
      </c>
      <c r="AW31" s="52" t="s">
        <v>122</v>
      </c>
      <c r="AX31" s="21" t="s">
        <v>123</v>
      </c>
      <c r="AY31" s="54">
        <f t="shared" si="0"/>
        <v>46956000</v>
      </c>
      <c r="AZ31" s="84"/>
      <c r="BA31" s="84"/>
      <c r="BB31" s="84"/>
      <c r="BC31" s="84"/>
      <c r="BD31" s="33" t="s">
        <v>124</v>
      </c>
      <c r="BE31" s="33">
        <v>6</v>
      </c>
      <c r="BF31" s="52" t="s">
        <v>125</v>
      </c>
      <c r="BG31" s="56">
        <v>7826000</v>
      </c>
      <c r="BH31" s="57"/>
      <c r="BI31" s="57"/>
      <c r="BJ31" s="57"/>
      <c r="BK31" s="57"/>
      <c r="BL31" s="57"/>
      <c r="BM31" s="58"/>
      <c r="BN31" s="90" t="s">
        <v>201</v>
      </c>
      <c r="BO31" s="21" t="s">
        <v>202</v>
      </c>
      <c r="BP31" s="33">
        <v>1098603026</v>
      </c>
      <c r="BQ31" s="52"/>
      <c r="BR31" s="21" t="s">
        <v>126</v>
      </c>
      <c r="BS31" s="59" t="s">
        <v>127</v>
      </c>
      <c r="BT31" s="60">
        <v>46035</v>
      </c>
      <c r="BU31" s="85">
        <v>4500399938</v>
      </c>
      <c r="BV31" s="62">
        <v>46035</v>
      </c>
      <c r="BW31" s="134">
        <v>46036</v>
      </c>
      <c r="BX31" s="134">
        <v>46036</v>
      </c>
      <c r="BY31" s="136"/>
      <c r="BZ31" s="136"/>
      <c r="CA31" s="136"/>
      <c r="CB31" s="136"/>
      <c r="CC31" s="136"/>
      <c r="CD31" s="136"/>
      <c r="CE31" s="252" t="s">
        <v>549</v>
      </c>
      <c r="CF31" s="125" t="s">
        <v>550</v>
      </c>
      <c r="CG31" s="253"/>
      <c r="CH31" s="33">
        <v>3013987555</v>
      </c>
      <c r="CI31" s="55"/>
      <c r="CJ31" s="55"/>
      <c r="CK31" s="55"/>
      <c r="CL31" s="55"/>
      <c r="CM31" s="55"/>
    </row>
    <row r="32" spans="1:91" ht="33" customHeight="1" x14ac:dyDescent="0.25">
      <c r="A32" s="20" t="s">
        <v>91</v>
      </c>
      <c r="B32" s="21" t="s">
        <v>92</v>
      </c>
      <c r="C32" s="21" t="s">
        <v>93</v>
      </c>
      <c r="D32" s="22" t="s">
        <v>94</v>
      </c>
      <c r="E32" s="23" t="s">
        <v>95</v>
      </c>
      <c r="F32" s="24" t="s">
        <v>96</v>
      </c>
      <c r="G32" s="25" t="s">
        <v>97</v>
      </c>
      <c r="H32" s="88" t="s">
        <v>111</v>
      </c>
      <c r="I32" s="27" t="s">
        <v>281</v>
      </c>
      <c r="J32" s="90" t="s">
        <v>201</v>
      </c>
      <c r="K32" s="21" t="s">
        <v>202</v>
      </c>
      <c r="L32" s="26" t="s">
        <v>100</v>
      </c>
      <c r="M32" s="27" t="s">
        <v>99</v>
      </c>
      <c r="N32" s="28"/>
      <c r="O32" s="28"/>
      <c r="P32" s="28" t="s">
        <v>186</v>
      </c>
      <c r="Q32" s="28" t="s">
        <v>187</v>
      </c>
      <c r="R32" s="73" t="s">
        <v>188</v>
      </c>
      <c r="S32" s="74" t="s">
        <v>189</v>
      </c>
      <c r="T32" s="31" t="s">
        <v>102</v>
      </c>
      <c r="U32" s="75"/>
      <c r="V32" s="37">
        <v>3500254255</v>
      </c>
      <c r="W32" s="34">
        <v>46027</v>
      </c>
      <c r="X32" s="35">
        <v>962010000</v>
      </c>
      <c r="Y32" s="31" t="s">
        <v>103</v>
      </c>
      <c r="Z32" s="39" t="s">
        <v>190</v>
      </c>
      <c r="AA32" s="37">
        <v>20124</v>
      </c>
      <c r="AB32" s="38" t="s">
        <v>105</v>
      </c>
      <c r="AC32" s="39" t="s">
        <v>106</v>
      </c>
      <c r="AD32" s="40" t="s">
        <v>107</v>
      </c>
      <c r="AE32" s="41" t="s">
        <v>108</v>
      </c>
      <c r="AF32" s="33" t="s">
        <v>102</v>
      </c>
      <c r="AG32" s="33"/>
      <c r="AH32" s="33" t="s">
        <v>551</v>
      </c>
      <c r="AI32" s="37" t="s">
        <v>552</v>
      </c>
      <c r="AJ32" s="212" t="s">
        <v>553</v>
      </c>
      <c r="AK32" s="43" t="s">
        <v>554</v>
      </c>
      <c r="AL32" s="92">
        <v>3</v>
      </c>
      <c r="AM32" s="80"/>
      <c r="AN32" s="205" t="s">
        <v>113</v>
      </c>
      <c r="AO32" s="46" t="s">
        <v>555</v>
      </c>
      <c r="AP32" s="46" t="s">
        <v>556</v>
      </c>
      <c r="AQ32" s="47" t="s">
        <v>116</v>
      </c>
      <c r="AR32" s="47" t="s">
        <v>557</v>
      </c>
      <c r="AS32" s="82" t="s">
        <v>558</v>
      </c>
      <c r="AT32" s="49" t="s">
        <v>462</v>
      </c>
      <c r="AU32" s="24" t="s">
        <v>559</v>
      </c>
      <c r="AV32" s="83" t="s">
        <v>560</v>
      </c>
      <c r="AW32" s="52" t="s">
        <v>122</v>
      </c>
      <c r="AX32" s="99" t="s">
        <v>526</v>
      </c>
      <c r="AY32" s="54">
        <f t="shared" si="0"/>
        <v>42216000</v>
      </c>
      <c r="AZ32" s="84"/>
      <c r="BA32" s="84"/>
      <c r="BB32" s="84"/>
      <c r="BC32" s="84"/>
      <c r="BD32" s="33" t="s">
        <v>124</v>
      </c>
      <c r="BE32" s="33">
        <v>6</v>
      </c>
      <c r="BF32" s="52" t="s">
        <v>466</v>
      </c>
      <c r="BG32" s="56">
        <v>7036000</v>
      </c>
      <c r="BH32" s="57"/>
      <c r="BI32" s="57"/>
      <c r="BJ32" s="57"/>
      <c r="BK32" s="57"/>
      <c r="BL32" s="57"/>
      <c r="BM32" s="58"/>
      <c r="BN32" s="90" t="s">
        <v>201</v>
      </c>
      <c r="BO32" s="21" t="s">
        <v>202</v>
      </c>
      <c r="BP32" s="33">
        <v>1098603026</v>
      </c>
      <c r="BQ32" s="52"/>
      <c r="BR32" s="21" t="s">
        <v>126</v>
      </c>
      <c r="BS32" s="59" t="s">
        <v>127</v>
      </c>
      <c r="BT32" s="60">
        <v>46035</v>
      </c>
      <c r="BU32" s="85">
        <v>4500399946</v>
      </c>
      <c r="BV32" s="62">
        <v>46035</v>
      </c>
      <c r="BW32" s="60">
        <v>46036</v>
      </c>
      <c r="BX32" s="60">
        <v>46036</v>
      </c>
      <c r="BY32" s="64"/>
      <c r="BZ32" s="64"/>
      <c r="CA32" s="64"/>
      <c r="CB32" s="64"/>
      <c r="CC32" s="64"/>
      <c r="CD32" s="64"/>
      <c r="CE32" s="67" t="s">
        <v>561</v>
      </c>
      <c r="CF32" s="224" t="s">
        <v>562</v>
      </c>
      <c r="CG32" s="69" t="s">
        <v>563</v>
      </c>
      <c r="CH32" s="33">
        <v>3183939664</v>
      </c>
      <c r="CI32" s="70" t="s">
        <v>131</v>
      </c>
      <c r="CJ32" s="70">
        <v>31</v>
      </c>
      <c r="CK32" s="70">
        <v>10</v>
      </c>
      <c r="CL32" s="70">
        <v>1989</v>
      </c>
      <c r="CM32" s="71">
        <f>2024-CL32</f>
        <v>35</v>
      </c>
    </row>
    <row r="33" spans="1:91" ht="33" customHeight="1" x14ac:dyDescent="0.25">
      <c r="A33" s="153" t="s">
        <v>91</v>
      </c>
      <c r="B33" s="154" t="s">
        <v>92</v>
      </c>
      <c r="C33" s="154" t="s">
        <v>93</v>
      </c>
      <c r="D33" s="22" t="s">
        <v>94</v>
      </c>
      <c r="E33" s="156" t="s">
        <v>95</v>
      </c>
      <c r="F33" s="157" t="s">
        <v>96</v>
      </c>
      <c r="G33" s="83" t="s">
        <v>97</v>
      </c>
      <c r="H33" s="181" t="s">
        <v>111</v>
      </c>
      <c r="I33" s="159" t="s">
        <v>281</v>
      </c>
      <c r="J33" s="254" t="s">
        <v>201</v>
      </c>
      <c r="K33" s="154" t="s">
        <v>202</v>
      </c>
      <c r="L33" s="26" t="s">
        <v>100</v>
      </c>
      <c r="M33" s="27" t="s">
        <v>99</v>
      </c>
      <c r="N33" s="28"/>
      <c r="O33" s="28"/>
      <c r="P33" s="28" t="s">
        <v>101</v>
      </c>
      <c r="Q33" s="49"/>
      <c r="R33" s="105"/>
      <c r="S33" s="106"/>
      <c r="T33" s="167"/>
      <c r="U33" s="163" t="s">
        <v>102</v>
      </c>
      <c r="V33" s="33">
        <v>3700028004</v>
      </c>
      <c r="W33" s="34">
        <v>46027</v>
      </c>
      <c r="X33" s="35">
        <v>1531992000</v>
      </c>
      <c r="Y33" s="31" t="s">
        <v>103</v>
      </c>
      <c r="Z33" s="36" t="s">
        <v>104</v>
      </c>
      <c r="AA33" s="37">
        <v>20115</v>
      </c>
      <c r="AB33" s="169" t="s">
        <v>105</v>
      </c>
      <c r="AC33" s="170" t="s">
        <v>106</v>
      </c>
      <c r="AD33" s="171" t="s">
        <v>107</v>
      </c>
      <c r="AE33" s="202" t="s">
        <v>152</v>
      </c>
      <c r="AF33" s="116" t="s">
        <v>102</v>
      </c>
      <c r="AG33" s="116"/>
      <c r="AH33" s="33" t="s">
        <v>564</v>
      </c>
      <c r="AI33" s="37" t="s">
        <v>565</v>
      </c>
      <c r="AJ33" s="255" t="s">
        <v>566</v>
      </c>
      <c r="AK33" s="173" t="s">
        <v>567</v>
      </c>
      <c r="AL33" s="174"/>
      <c r="AM33" s="80"/>
      <c r="AN33" s="205" t="s">
        <v>113</v>
      </c>
      <c r="AO33" s="49" t="s">
        <v>568</v>
      </c>
      <c r="AP33" s="49" t="s">
        <v>569</v>
      </c>
      <c r="AQ33" s="175" t="s">
        <v>116</v>
      </c>
      <c r="AR33" s="256" t="s">
        <v>570</v>
      </c>
      <c r="AS33" s="257" t="s">
        <v>571</v>
      </c>
      <c r="AT33" s="49" t="s">
        <v>226</v>
      </c>
      <c r="AU33" s="104" t="s">
        <v>572</v>
      </c>
      <c r="AV33" s="83" t="s">
        <v>573</v>
      </c>
      <c r="AW33" s="52" t="s">
        <v>122</v>
      </c>
      <c r="AX33" s="21" t="s">
        <v>229</v>
      </c>
      <c r="AY33" s="54">
        <f t="shared" si="0"/>
        <v>33978000</v>
      </c>
      <c r="AZ33" s="117"/>
      <c r="BA33" s="117"/>
      <c r="BB33" s="117"/>
      <c r="BC33" s="117"/>
      <c r="BD33" s="33" t="s">
        <v>124</v>
      </c>
      <c r="BE33" s="33">
        <v>6</v>
      </c>
      <c r="BF33" s="52" t="s">
        <v>230</v>
      </c>
      <c r="BG33" s="56">
        <v>5663000</v>
      </c>
      <c r="BH33" s="178"/>
      <c r="BI33" s="178"/>
      <c r="BJ33" s="178"/>
      <c r="BK33" s="178"/>
      <c r="BL33" s="178"/>
      <c r="BM33" s="179"/>
      <c r="BN33" s="254" t="s">
        <v>201</v>
      </c>
      <c r="BO33" s="154" t="s">
        <v>202</v>
      </c>
      <c r="BP33" s="116">
        <v>1098603026</v>
      </c>
      <c r="BQ33" s="52"/>
      <c r="BR33" s="21" t="s">
        <v>126</v>
      </c>
      <c r="BS33" s="59" t="s">
        <v>127</v>
      </c>
      <c r="BT33" s="60">
        <v>46030</v>
      </c>
      <c r="BU33" s="85">
        <v>4500397441</v>
      </c>
      <c r="BV33" s="62">
        <v>46031</v>
      </c>
      <c r="BW33" s="60">
        <v>46031</v>
      </c>
      <c r="BX33" s="60">
        <v>46031</v>
      </c>
      <c r="BY33" s="64"/>
      <c r="BZ33" s="64"/>
      <c r="CA33" s="64"/>
      <c r="CB33" s="64"/>
      <c r="CC33" s="64"/>
      <c r="CD33" s="64"/>
      <c r="CE33" s="258" t="s">
        <v>574</v>
      </c>
      <c r="CF33" s="180" t="s">
        <v>575</v>
      </c>
      <c r="CG33" s="259"/>
      <c r="CH33" s="116">
        <v>3216641587</v>
      </c>
      <c r="CI33" s="201"/>
      <c r="CJ33" s="182"/>
      <c r="CK33" s="182"/>
      <c r="CL33" s="182"/>
      <c r="CM33" s="182"/>
    </row>
    <row r="34" spans="1:91" ht="24.75" customHeight="1" x14ac:dyDescent="0.25">
      <c r="A34" s="20" t="s">
        <v>91</v>
      </c>
      <c r="B34" s="21" t="s">
        <v>92</v>
      </c>
      <c r="C34" s="21" t="s">
        <v>93</v>
      </c>
      <c r="D34" s="22" t="s">
        <v>94</v>
      </c>
      <c r="E34" s="23" t="s">
        <v>95</v>
      </c>
      <c r="F34" s="24" t="s">
        <v>96</v>
      </c>
      <c r="G34" s="25" t="s">
        <v>97</v>
      </c>
      <c r="H34" s="88" t="s">
        <v>111</v>
      </c>
      <c r="I34" s="27" t="s">
        <v>281</v>
      </c>
      <c r="J34" s="90" t="s">
        <v>201</v>
      </c>
      <c r="K34" s="21" t="s">
        <v>202</v>
      </c>
      <c r="L34" s="26" t="s">
        <v>100</v>
      </c>
      <c r="M34" s="27" t="s">
        <v>99</v>
      </c>
      <c r="N34" s="28"/>
      <c r="O34" s="28"/>
      <c r="P34" s="28" t="s">
        <v>101</v>
      </c>
      <c r="Q34" s="28"/>
      <c r="R34" s="73"/>
      <c r="S34" s="74"/>
      <c r="T34" s="31"/>
      <c r="U34" s="75" t="s">
        <v>102</v>
      </c>
      <c r="V34" s="33">
        <v>3700028004</v>
      </c>
      <c r="W34" s="34">
        <v>46027</v>
      </c>
      <c r="X34" s="35">
        <v>1531992000</v>
      </c>
      <c r="Y34" s="31" t="s">
        <v>103</v>
      </c>
      <c r="Z34" s="36" t="s">
        <v>104</v>
      </c>
      <c r="AA34" s="37">
        <v>20115</v>
      </c>
      <c r="AB34" s="38" t="s">
        <v>105</v>
      </c>
      <c r="AC34" s="39" t="s">
        <v>106</v>
      </c>
      <c r="AD34" s="40" t="s">
        <v>107</v>
      </c>
      <c r="AE34" s="172" t="s">
        <v>576</v>
      </c>
      <c r="AF34" s="37" t="s">
        <v>102</v>
      </c>
      <c r="AG34" s="37"/>
      <c r="AH34" s="33" t="s">
        <v>577</v>
      </c>
      <c r="AI34" s="37" t="s">
        <v>578</v>
      </c>
      <c r="AJ34" s="212" t="s">
        <v>579</v>
      </c>
      <c r="AK34" s="78" t="s">
        <v>580</v>
      </c>
      <c r="AL34" s="183" t="s">
        <v>581</v>
      </c>
      <c r="AM34" s="80"/>
      <c r="AN34" s="45" t="s">
        <v>373</v>
      </c>
      <c r="AO34" s="24" t="s">
        <v>136</v>
      </c>
      <c r="AP34" s="28" t="s">
        <v>582</v>
      </c>
      <c r="AQ34" s="248" t="s">
        <v>116</v>
      </c>
      <c r="AR34" s="260" t="s">
        <v>583</v>
      </c>
      <c r="AS34" s="250" t="s">
        <v>584</v>
      </c>
      <c r="AT34" s="104" t="s">
        <v>179</v>
      </c>
      <c r="AU34" s="28" t="s">
        <v>585</v>
      </c>
      <c r="AV34" s="187" t="s">
        <v>573</v>
      </c>
      <c r="AW34" s="52" t="s">
        <v>122</v>
      </c>
      <c r="AX34" s="21" t="s">
        <v>164</v>
      </c>
      <c r="AY34" s="54">
        <f t="shared" si="0"/>
        <v>37482000</v>
      </c>
      <c r="AZ34" s="84"/>
      <c r="BA34" s="84"/>
      <c r="BB34" s="84"/>
      <c r="BC34" s="84"/>
      <c r="BD34" s="33" t="s">
        <v>124</v>
      </c>
      <c r="BE34" s="33">
        <v>6</v>
      </c>
      <c r="BF34" s="52" t="s">
        <v>165</v>
      </c>
      <c r="BG34" s="56">
        <v>6247000</v>
      </c>
      <c r="BH34" s="57"/>
      <c r="BI34" s="57"/>
      <c r="BJ34" s="57"/>
      <c r="BK34" s="57"/>
      <c r="BL34" s="57"/>
      <c r="BM34" s="58"/>
      <c r="BN34" s="90" t="s">
        <v>201</v>
      </c>
      <c r="BO34" s="21" t="s">
        <v>202</v>
      </c>
      <c r="BP34" s="33">
        <v>1098603026</v>
      </c>
      <c r="BQ34" s="52"/>
      <c r="BR34" s="21" t="s">
        <v>126</v>
      </c>
      <c r="BS34" s="59" t="s">
        <v>127</v>
      </c>
      <c r="BT34" s="60">
        <v>46038</v>
      </c>
      <c r="BU34" s="85">
        <v>4500402816</v>
      </c>
      <c r="BV34" s="62">
        <v>46038</v>
      </c>
      <c r="BW34" s="60">
        <v>46038</v>
      </c>
      <c r="BX34" s="60">
        <v>46038</v>
      </c>
      <c r="BY34" s="64"/>
      <c r="BZ34" s="64"/>
      <c r="CA34" s="64"/>
      <c r="CB34" s="64"/>
      <c r="CC34" s="64"/>
      <c r="CD34" s="64"/>
      <c r="CE34" s="97" t="s">
        <v>586</v>
      </c>
      <c r="CF34" s="33" t="s">
        <v>587</v>
      </c>
      <c r="CG34" s="253"/>
      <c r="CH34" s="127">
        <v>3128843837</v>
      </c>
      <c r="CI34" s="55"/>
      <c r="CJ34" s="55"/>
      <c r="CK34" s="55"/>
      <c r="CL34" s="55"/>
      <c r="CM34" s="55"/>
    </row>
    <row r="35" spans="1:91" ht="33" customHeight="1" x14ac:dyDescent="0.25">
      <c r="A35" s="20" t="s">
        <v>91</v>
      </c>
      <c r="B35" s="21" t="s">
        <v>92</v>
      </c>
      <c r="C35" s="21" t="s">
        <v>93</v>
      </c>
      <c r="D35" s="22" t="s">
        <v>94</v>
      </c>
      <c r="E35" s="23" t="s">
        <v>95</v>
      </c>
      <c r="F35" s="24" t="s">
        <v>96</v>
      </c>
      <c r="G35" s="25" t="s">
        <v>97</v>
      </c>
      <c r="H35" s="88" t="s">
        <v>111</v>
      </c>
      <c r="I35" s="27" t="s">
        <v>281</v>
      </c>
      <c r="J35" s="28" t="s">
        <v>323</v>
      </c>
      <c r="K35" s="28" t="s">
        <v>324</v>
      </c>
      <c r="L35" s="26" t="s">
        <v>100</v>
      </c>
      <c r="M35" s="27" t="s">
        <v>99</v>
      </c>
      <c r="N35" s="28"/>
      <c r="O35" s="28"/>
      <c r="P35" s="28" t="s">
        <v>186</v>
      </c>
      <c r="Q35" s="28" t="s">
        <v>187</v>
      </c>
      <c r="R35" s="261" t="s">
        <v>588</v>
      </c>
      <c r="S35" s="186" t="s">
        <v>589</v>
      </c>
      <c r="T35" s="31" t="s">
        <v>102</v>
      </c>
      <c r="U35" s="33"/>
      <c r="V35" s="37">
        <v>3500254255</v>
      </c>
      <c r="W35" s="34">
        <v>46027</v>
      </c>
      <c r="X35" s="35">
        <v>962010000</v>
      </c>
      <c r="Y35" s="31" t="s">
        <v>103</v>
      </c>
      <c r="Z35" s="39" t="s">
        <v>590</v>
      </c>
      <c r="AA35" s="37">
        <v>20124</v>
      </c>
      <c r="AB35" s="38" t="s">
        <v>105</v>
      </c>
      <c r="AC35" s="39" t="s">
        <v>106</v>
      </c>
      <c r="AD35" s="42" t="s">
        <v>107</v>
      </c>
      <c r="AE35" s="41" t="s">
        <v>152</v>
      </c>
      <c r="AF35" s="33" t="s">
        <v>102</v>
      </c>
      <c r="AG35" s="33"/>
      <c r="AH35" s="33" t="s">
        <v>591</v>
      </c>
      <c r="AI35" s="37" t="s">
        <v>592</v>
      </c>
      <c r="AJ35" s="212" t="s">
        <v>593</v>
      </c>
      <c r="AK35" s="78" t="s">
        <v>594</v>
      </c>
      <c r="AL35" s="92">
        <v>2</v>
      </c>
      <c r="AM35" s="80"/>
      <c r="AN35" s="45" t="s">
        <v>113</v>
      </c>
      <c r="AO35" s="46" t="s">
        <v>568</v>
      </c>
      <c r="AP35" s="46" t="s">
        <v>595</v>
      </c>
      <c r="AQ35" s="47" t="s">
        <v>116</v>
      </c>
      <c r="AR35" s="47" t="s">
        <v>596</v>
      </c>
      <c r="AS35" s="82" t="s">
        <v>597</v>
      </c>
      <c r="AT35" s="49" t="s">
        <v>598</v>
      </c>
      <c r="AU35" s="24" t="s">
        <v>599</v>
      </c>
      <c r="AV35" s="25" t="s">
        <v>600</v>
      </c>
      <c r="AW35" s="52" t="s">
        <v>122</v>
      </c>
      <c r="AX35" s="21" t="s">
        <v>229</v>
      </c>
      <c r="AY35" s="54">
        <f t="shared" si="0"/>
        <v>33978000</v>
      </c>
      <c r="AZ35" s="117"/>
      <c r="BA35" s="117"/>
      <c r="BB35" s="117"/>
      <c r="BC35" s="117"/>
      <c r="BD35" s="33" t="s">
        <v>124</v>
      </c>
      <c r="BE35" s="33">
        <v>6</v>
      </c>
      <c r="BF35" s="52" t="s">
        <v>230</v>
      </c>
      <c r="BG35" s="56">
        <v>5663000</v>
      </c>
      <c r="BH35" s="33"/>
      <c r="BI35" s="33"/>
      <c r="BJ35" s="33"/>
      <c r="BK35" s="33"/>
      <c r="BL35" s="33"/>
      <c r="BM35" s="22"/>
      <c r="BN35" s="28" t="s">
        <v>323</v>
      </c>
      <c r="BO35" s="28" t="s">
        <v>324</v>
      </c>
      <c r="BP35" s="32">
        <v>31907790</v>
      </c>
      <c r="BQ35" s="52"/>
      <c r="BR35" s="21" t="s">
        <v>126</v>
      </c>
      <c r="BS35" s="59" t="s">
        <v>127</v>
      </c>
      <c r="BT35" s="60">
        <v>46030</v>
      </c>
      <c r="BU35" s="85">
        <v>4500397455</v>
      </c>
      <c r="BV35" s="62">
        <v>46031</v>
      </c>
      <c r="BW35" s="60">
        <v>46031</v>
      </c>
      <c r="BX35" s="60">
        <v>46031</v>
      </c>
      <c r="BY35" s="64"/>
      <c r="BZ35" s="64"/>
      <c r="CA35" s="64"/>
      <c r="CB35" s="64"/>
      <c r="CC35" s="64"/>
      <c r="CD35" s="64"/>
      <c r="CE35" s="67" t="s">
        <v>601</v>
      </c>
      <c r="CF35" s="68" t="s">
        <v>602</v>
      </c>
      <c r="CG35" s="69" t="s">
        <v>603</v>
      </c>
      <c r="CH35" s="33">
        <v>3218495505</v>
      </c>
      <c r="CI35" s="70" t="s">
        <v>131</v>
      </c>
      <c r="CJ35" s="70">
        <v>16</v>
      </c>
      <c r="CK35" s="70">
        <v>5</v>
      </c>
      <c r="CL35" s="70">
        <v>1988</v>
      </c>
      <c r="CM35" s="71">
        <f t="shared" ref="CM35:CM40" si="6">2024-CL35</f>
        <v>36</v>
      </c>
    </row>
    <row r="36" spans="1:91" ht="33" customHeight="1" x14ac:dyDescent="0.25">
      <c r="A36" s="20" t="s">
        <v>91</v>
      </c>
      <c r="B36" s="21" t="s">
        <v>92</v>
      </c>
      <c r="C36" s="21" t="s">
        <v>93</v>
      </c>
      <c r="D36" s="22" t="s">
        <v>94</v>
      </c>
      <c r="E36" s="23" t="s">
        <v>95</v>
      </c>
      <c r="F36" s="24" t="s">
        <v>96</v>
      </c>
      <c r="G36" s="25" t="s">
        <v>97</v>
      </c>
      <c r="H36" s="88" t="s">
        <v>111</v>
      </c>
      <c r="I36" s="27" t="s">
        <v>281</v>
      </c>
      <c r="J36" s="28" t="s">
        <v>323</v>
      </c>
      <c r="K36" s="28" t="s">
        <v>324</v>
      </c>
      <c r="L36" s="26" t="s">
        <v>100</v>
      </c>
      <c r="M36" s="27" t="s">
        <v>99</v>
      </c>
      <c r="N36" s="28"/>
      <c r="O36" s="28"/>
      <c r="P36" s="28" t="s">
        <v>186</v>
      </c>
      <c r="Q36" s="28" t="s">
        <v>187</v>
      </c>
      <c r="R36" s="262" t="s">
        <v>604</v>
      </c>
      <c r="S36" s="263" t="s">
        <v>605</v>
      </c>
      <c r="T36" s="31" t="s">
        <v>102</v>
      </c>
      <c r="U36" s="75"/>
      <c r="V36" s="37">
        <v>3500254255</v>
      </c>
      <c r="W36" s="34">
        <v>46027</v>
      </c>
      <c r="X36" s="35">
        <v>962010000</v>
      </c>
      <c r="Y36" s="31" t="s">
        <v>103</v>
      </c>
      <c r="Z36" s="36" t="s">
        <v>606</v>
      </c>
      <c r="AA36" s="37">
        <v>20124</v>
      </c>
      <c r="AB36" s="38" t="s">
        <v>234</v>
      </c>
      <c r="AC36" s="39" t="s">
        <v>251</v>
      </c>
      <c r="AD36" s="40" t="s">
        <v>252</v>
      </c>
      <c r="AE36" s="152" t="s">
        <v>253</v>
      </c>
      <c r="AF36" s="33"/>
      <c r="AG36" s="33" t="s">
        <v>102</v>
      </c>
      <c r="AH36" s="33" t="s">
        <v>607</v>
      </c>
      <c r="AI36" s="37" t="s">
        <v>608</v>
      </c>
      <c r="AJ36" s="212" t="s">
        <v>609</v>
      </c>
      <c r="AK36" s="43" t="s">
        <v>610</v>
      </c>
      <c r="AL36" s="44"/>
      <c r="AM36" s="80"/>
      <c r="AN36" s="205" t="s">
        <v>113</v>
      </c>
      <c r="AO36" s="46" t="s">
        <v>258</v>
      </c>
      <c r="AP36" s="46" t="s">
        <v>611</v>
      </c>
      <c r="AQ36" s="143" t="s">
        <v>260</v>
      </c>
      <c r="AR36" s="143" t="s">
        <v>260</v>
      </c>
      <c r="AS36" s="94" t="s">
        <v>612</v>
      </c>
      <c r="AT36" s="49" t="s">
        <v>262</v>
      </c>
      <c r="AU36" s="24" t="s">
        <v>613</v>
      </c>
      <c r="AV36" s="25" t="s">
        <v>614</v>
      </c>
      <c r="AW36" s="52" t="s">
        <v>398</v>
      </c>
      <c r="AX36" s="21" t="s">
        <v>399</v>
      </c>
      <c r="AY36" s="54">
        <f t="shared" si="0"/>
        <v>14204000</v>
      </c>
      <c r="AZ36" s="84"/>
      <c r="BA36" s="84"/>
      <c r="BB36" s="55"/>
      <c r="BC36" s="55"/>
      <c r="BD36" s="33" t="s">
        <v>400</v>
      </c>
      <c r="BE36" s="33">
        <v>4</v>
      </c>
      <c r="BF36" s="52" t="s">
        <v>266</v>
      </c>
      <c r="BG36" s="56">
        <v>3551000</v>
      </c>
      <c r="BH36" s="57"/>
      <c r="BI36" s="57"/>
      <c r="BJ36" s="57"/>
      <c r="BK36" s="57"/>
      <c r="BL36" s="57"/>
      <c r="BM36" s="96"/>
      <c r="BN36" s="28" t="s">
        <v>323</v>
      </c>
      <c r="BO36" s="28" t="s">
        <v>324</v>
      </c>
      <c r="BP36" s="32">
        <v>31907790</v>
      </c>
      <c r="BQ36" s="52"/>
      <c r="BR36" s="21" t="s">
        <v>126</v>
      </c>
      <c r="BS36" s="59" t="s">
        <v>127</v>
      </c>
      <c r="BT36" s="60">
        <v>46031</v>
      </c>
      <c r="BU36" s="85">
        <v>4500397464</v>
      </c>
      <c r="BV36" s="62">
        <v>46031</v>
      </c>
      <c r="BW36" s="60">
        <v>46032</v>
      </c>
      <c r="BX36" s="60">
        <v>46032</v>
      </c>
      <c r="BY36" s="64"/>
      <c r="BZ36" s="64"/>
      <c r="CA36" s="64"/>
      <c r="CB36" s="64"/>
      <c r="CC36" s="64"/>
      <c r="CD36" s="64"/>
      <c r="CE36" s="67" t="s">
        <v>615</v>
      </c>
      <c r="CF36" s="33" t="s">
        <v>616</v>
      </c>
      <c r="CG36" s="69" t="s">
        <v>617</v>
      </c>
      <c r="CH36" s="33">
        <v>3147427200</v>
      </c>
      <c r="CI36" s="70" t="s">
        <v>131</v>
      </c>
      <c r="CJ36" s="70">
        <v>27</v>
      </c>
      <c r="CK36" s="70">
        <v>3</v>
      </c>
      <c r="CL36" s="70">
        <v>1982</v>
      </c>
      <c r="CM36" s="71">
        <f t="shared" si="6"/>
        <v>42</v>
      </c>
    </row>
    <row r="37" spans="1:91" ht="33" customHeight="1" x14ac:dyDescent="0.25">
      <c r="A37" s="20" t="s">
        <v>91</v>
      </c>
      <c r="B37" s="21" t="s">
        <v>92</v>
      </c>
      <c r="C37" s="21" t="s">
        <v>93</v>
      </c>
      <c r="D37" s="22" t="s">
        <v>94</v>
      </c>
      <c r="E37" s="23" t="s">
        <v>95</v>
      </c>
      <c r="F37" s="24" t="s">
        <v>96</v>
      </c>
      <c r="G37" s="25" t="s">
        <v>97</v>
      </c>
      <c r="H37" s="88" t="s">
        <v>111</v>
      </c>
      <c r="I37" s="27" t="s">
        <v>281</v>
      </c>
      <c r="J37" s="28" t="s">
        <v>323</v>
      </c>
      <c r="K37" s="28" t="s">
        <v>324</v>
      </c>
      <c r="L37" s="26" t="s">
        <v>100</v>
      </c>
      <c r="M37" s="27" t="s">
        <v>99</v>
      </c>
      <c r="N37" s="28"/>
      <c r="O37" s="28"/>
      <c r="P37" s="28" t="s">
        <v>186</v>
      </c>
      <c r="Q37" s="28" t="s">
        <v>187</v>
      </c>
      <c r="R37" s="261" t="s">
        <v>618</v>
      </c>
      <c r="S37" s="186" t="s">
        <v>619</v>
      </c>
      <c r="T37" s="31" t="s">
        <v>102</v>
      </c>
      <c r="U37" s="33"/>
      <c r="V37" s="37">
        <v>3500254255</v>
      </c>
      <c r="W37" s="34">
        <v>46027</v>
      </c>
      <c r="X37" s="35">
        <v>962010000</v>
      </c>
      <c r="Y37" s="31" t="s">
        <v>103</v>
      </c>
      <c r="Z37" s="39" t="s">
        <v>620</v>
      </c>
      <c r="AA37" s="37">
        <v>20124</v>
      </c>
      <c r="AB37" s="38" t="s">
        <v>105</v>
      </c>
      <c r="AC37" s="39" t="s">
        <v>106</v>
      </c>
      <c r="AD37" s="238" t="s">
        <v>107</v>
      </c>
      <c r="AE37" s="41" t="s">
        <v>152</v>
      </c>
      <c r="AF37" s="33" t="s">
        <v>102</v>
      </c>
      <c r="AG37" s="33"/>
      <c r="AH37" s="33" t="s">
        <v>621</v>
      </c>
      <c r="AI37" s="37" t="s">
        <v>622</v>
      </c>
      <c r="AJ37" s="212" t="s">
        <v>623</v>
      </c>
      <c r="AK37" s="43" t="s">
        <v>624</v>
      </c>
      <c r="AL37" s="92">
        <v>9</v>
      </c>
      <c r="AM37" s="80"/>
      <c r="AN37" s="205" t="s">
        <v>113</v>
      </c>
      <c r="AO37" s="46" t="s">
        <v>625</v>
      </c>
      <c r="AP37" s="49" t="s">
        <v>626</v>
      </c>
      <c r="AQ37" s="47" t="s">
        <v>116</v>
      </c>
      <c r="AR37" s="143" t="s">
        <v>627</v>
      </c>
      <c r="AS37" s="82" t="s">
        <v>628</v>
      </c>
      <c r="AT37" s="49" t="s">
        <v>161</v>
      </c>
      <c r="AU37" s="24" t="s">
        <v>629</v>
      </c>
      <c r="AV37" s="51" t="s">
        <v>630</v>
      </c>
      <c r="AW37" s="52" t="s">
        <v>122</v>
      </c>
      <c r="AX37" s="21" t="s">
        <v>164</v>
      </c>
      <c r="AY37" s="54">
        <f t="shared" si="0"/>
        <v>37482000</v>
      </c>
      <c r="AZ37" s="117"/>
      <c r="BA37" s="117"/>
      <c r="BB37" s="117"/>
      <c r="BC37" s="117"/>
      <c r="BD37" s="33" t="s">
        <v>124</v>
      </c>
      <c r="BE37" s="33">
        <v>6</v>
      </c>
      <c r="BF37" s="52" t="s">
        <v>165</v>
      </c>
      <c r="BG37" s="56">
        <v>6247000</v>
      </c>
      <c r="BH37" s="57"/>
      <c r="BI37" s="57"/>
      <c r="BJ37" s="57"/>
      <c r="BK37" s="57"/>
      <c r="BL37" s="57"/>
      <c r="BM37" s="96"/>
      <c r="BN37" s="28" t="s">
        <v>323</v>
      </c>
      <c r="BO37" s="28" t="s">
        <v>324</v>
      </c>
      <c r="BP37" s="32">
        <v>31907790</v>
      </c>
      <c r="BQ37" s="52"/>
      <c r="BR37" s="21" t="s">
        <v>126</v>
      </c>
      <c r="BS37" s="59" t="s">
        <v>127</v>
      </c>
      <c r="BT37" s="60">
        <v>46031</v>
      </c>
      <c r="BU37" s="85">
        <v>4500397135</v>
      </c>
      <c r="BV37" s="62">
        <v>46031</v>
      </c>
      <c r="BW37" s="60">
        <v>46032</v>
      </c>
      <c r="BX37" s="60">
        <v>46032</v>
      </c>
      <c r="BY37" s="64"/>
      <c r="BZ37" s="64"/>
      <c r="CA37" s="64"/>
      <c r="CB37" s="64"/>
      <c r="CC37" s="64"/>
      <c r="CD37" s="64"/>
      <c r="CE37" s="67" t="s">
        <v>631</v>
      </c>
      <c r="CF37" s="224" t="s">
        <v>632</v>
      </c>
      <c r="CG37" s="69" t="s">
        <v>633</v>
      </c>
      <c r="CH37" s="33">
        <v>3166579144</v>
      </c>
      <c r="CI37" s="70" t="s">
        <v>131</v>
      </c>
      <c r="CJ37" s="70">
        <v>15</v>
      </c>
      <c r="CK37" s="70">
        <v>8</v>
      </c>
      <c r="CL37" s="70">
        <v>1977</v>
      </c>
      <c r="CM37" s="71">
        <f t="shared" si="6"/>
        <v>47</v>
      </c>
    </row>
    <row r="38" spans="1:91" ht="33" customHeight="1" x14ac:dyDescent="0.25">
      <c r="A38" s="20" t="s">
        <v>91</v>
      </c>
      <c r="B38" s="21" t="s">
        <v>92</v>
      </c>
      <c r="C38" s="21" t="s">
        <v>93</v>
      </c>
      <c r="D38" s="22" t="s">
        <v>94</v>
      </c>
      <c r="E38" s="23" t="s">
        <v>95</v>
      </c>
      <c r="F38" s="24" t="s">
        <v>96</v>
      </c>
      <c r="G38" s="25" t="s">
        <v>97</v>
      </c>
      <c r="H38" s="88" t="s">
        <v>111</v>
      </c>
      <c r="I38" s="27" t="s">
        <v>281</v>
      </c>
      <c r="J38" s="28" t="s">
        <v>323</v>
      </c>
      <c r="K38" s="28" t="s">
        <v>324</v>
      </c>
      <c r="L38" s="26" t="s">
        <v>100</v>
      </c>
      <c r="M38" s="27" t="s">
        <v>99</v>
      </c>
      <c r="N38" s="28"/>
      <c r="O38" s="28"/>
      <c r="P38" s="28" t="s">
        <v>186</v>
      </c>
      <c r="Q38" s="28" t="s">
        <v>187</v>
      </c>
      <c r="R38" s="261" t="s">
        <v>618</v>
      </c>
      <c r="S38" s="186" t="s">
        <v>619</v>
      </c>
      <c r="T38" s="31" t="s">
        <v>102</v>
      </c>
      <c r="U38" s="33"/>
      <c r="V38" s="37">
        <v>3500254255</v>
      </c>
      <c r="W38" s="34">
        <v>46027</v>
      </c>
      <c r="X38" s="35">
        <v>962010000</v>
      </c>
      <c r="Y38" s="31" t="s">
        <v>103</v>
      </c>
      <c r="Z38" s="39" t="s">
        <v>620</v>
      </c>
      <c r="AA38" s="37">
        <v>20124</v>
      </c>
      <c r="AB38" s="38" t="s">
        <v>105</v>
      </c>
      <c r="AC38" s="39" t="s">
        <v>106</v>
      </c>
      <c r="AD38" s="42" t="s">
        <v>107</v>
      </c>
      <c r="AE38" s="41" t="s">
        <v>108</v>
      </c>
      <c r="AF38" s="33" t="s">
        <v>102</v>
      </c>
      <c r="AG38" s="33"/>
      <c r="AH38" s="33" t="s">
        <v>634</v>
      </c>
      <c r="AI38" s="37" t="s">
        <v>635</v>
      </c>
      <c r="AJ38" s="212" t="s">
        <v>636</v>
      </c>
      <c r="AK38" s="43" t="s">
        <v>637</v>
      </c>
      <c r="AL38" s="92">
        <v>1</v>
      </c>
      <c r="AM38" s="80"/>
      <c r="AN38" s="45" t="s">
        <v>113</v>
      </c>
      <c r="AO38" s="46" t="s">
        <v>136</v>
      </c>
      <c r="AP38" s="46" t="s">
        <v>638</v>
      </c>
      <c r="AQ38" s="47" t="s">
        <v>116</v>
      </c>
      <c r="AR38" s="226" t="s">
        <v>639</v>
      </c>
      <c r="AS38" s="82" t="s">
        <v>640</v>
      </c>
      <c r="AT38" s="264" t="s">
        <v>119</v>
      </c>
      <c r="AU38" s="265" t="s">
        <v>641</v>
      </c>
      <c r="AV38" s="51" t="s">
        <v>642</v>
      </c>
      <c r="AW38" s="52" t="s">
        <v>122</v>
      </c>
      <c r="AX38" s="21" t="s">
        <v>123</v>
      </c>
      <c r="AY38" s="54">
        <f t="shared" si="0"/>
        <v>46956000</v>
      </c>
      <c r="AZ38" s="84"/>
      <c r="BA38" s="84"/>
      <c r="BB38" s="84"/>
      <c r="BC38" s="84"/>
      <c r="BD38" s="33" t="s">
        <v>124</v>
      </c>
      <c r="BE38" s="33">
        <v>6</v>
      </c>
      <c r="BF38" s="52" t="s">
        <v>125</v>
      </c>
      <c r="BG38" s="56">
        <v>7826000</v>
      </c>
      <c r="BH38" s="57"/>
      <c r="BI38" s="57"/>
      <c r="BJ38" s="57"/>
      <c r="BK38" s="57"/>
      <c r="BL38" s="57"/>
      <c r="BM38" s="58"/>
      <c r="BN38" s="28" t="s">
        <v>323</v>
      </c>
      <c r="BO38" s="28" t="s">
        <v>324</v>
      </c>
      <c r="BP38" s="32">
        <v>31907790</v>
      </c>
      <c r="BQ38" s="52"/>
      <c r="BR38" s="21" t="s">
        <v>126</v>
      </c>
      <c r="BS38" s="59" t="s">
        <v>127</v>
      </c>
      <c r="BT38" s="60">
        <v>46029</v>
      </c>
      <c r="BU38" s="121">
        <v>4500396205</v>
      </c>
      <c r="BV38" s="62">
        <v>46029</v>
      </c>
      <c r="BW38" s="60">
        <v>46030</v>
      </c>
      <c r="BX38" s="60">
        <v>46030</v>
      </c>
      <c r="BY38" s="64"/>
      <c r="BZ38" s="64"/>
      <c r="CA38" s="64"/>
      <c r="CB38" s="64"/>
      <c r="CC38" s="64"/>
      <c r="CD38" s="64"/>
      <c r="CE38" s="67" t="s">
        <v>643</v>
      </c>
      <c r="CF38" s="68" t="s">
        <v>644</v>
      </c>
      <c r="CG38" s="69" t="s">
        <v>645</v>
      </c>
      <c r="CH38" s="33">
        <v>3183758345</v>
      </c>
      <c r="CI38" s="70" t="s">
        <v>131</v>
      </c>
      <c r="CJ38" s="70">
        <v>11</v>
      </c>
      <c r="CK38" s="70">
        <v>8</v>
      </c>
      <c r="CL38" s="70">
        <v>1986</v>
      </c>
      <c r="CM38" s="71">
        <f t="shared" si="6"/>
        <v>38</v>
      </c>
    </row>
    <row r="39" spans="1:91" ht="33" customHeight="1" x14ac:dyDescent="0.25">
      <c r="A39" s="20" t="s">
        <v>91</v>
      </c>
      <c r="B39" s="21" t="s">
        <v>92</v>
      </c>
      <c r="C39" s="21" t="s">
        <v>93</v>
      </c>
      <c r="D39" s="22" t="s">
        <v>94</v>
      </c>
      <c r="E39" s="23" t="s">
        <v>95</v>
      </c>
      <c r="F39" s="24" t="s">
        <v>96</v>
      </c>
      <c r="G39" s="25" t="s">
        <v>97</v>
      </c>
      <c r="H39" s="88" t="s">
        <v>111</v>
      </c>
      <c r="I39" s="27" t="s">
        <v>281</v>
      </c>
      <c r="J39" s="28" t="s">
        <v>323</v>
      </c>
      <c r="K39" s="28" t="s">
        <v>324</v>
      </c>
      <c r="L39" s="26" t="s">
        <v>100</v>
      </c>
      <c r="M39" s="27" t="s">
        <v>99</v>
      </c>
      <c r="N39" s="28"/>
      <c r="O39" s="28"/>
      <c r="P39" s="28" t="s">
        <v>186</v>
      </c>
      <c r="Q39" s="28" t="s">
        <v>187</v>
      </c>
      <c r="R39" s="261" t="s">
        <v>618</v>
      </c>
      <c r="S39" s="186" t="s">
        <v>619</v>
      </c>
      <c r="T39" s="31" t="s">
        <v>102</v>
      </c>
      <c r="U39" s="33"/>
      <c r="V39" s="37">
        <v>3500254255</v>
      </c>
      <c r="W39" s="34">
        <v>46027</v>
      </c>
      <c r="X39" s="35">
        <v>962010000</v>
      </c>
      <c r="Y39" s="31" t="s">
        <v>103</v>
      </c>
      <c r="Z39" s="39" t="s">
        <v>620</v>
      </c>
      <c r="AA39" s="37">
        <v>20124</v>
      </c>
      <c r="AB39" s="38" t="s">
        <v>105</v>
      </c>
      <c r="AC39" s="39" t="s">
        <v>106</v>
      </c>
      <c r="AD39" s="42" t="s">
        <v>107</v>
      </c>
      <c r="AE39" s="41" t="s">
        <v>152</v>
      </c>
      <c r="AF39" s="33" t="s">
        <v>102</v>
      </c>
      <c r="AG39" s="33"/>
      <c r="AH39" s="33" t="s">
        <v>646</v>
      </c>
      <c r="AI39" s="37" t="s">
        <v>647</v>
      </c>
      <c r="AJ39" s="212" t="s">
        <v>648</v>
      </c>
      <c r="AK39" s="43" t="s">
        <v>649</v>
      </c>
      <c r="AL39" s="44">
        <v>6</v>
      </c>
      <c r="AM39" s="80"/>
      <c r="AN39" s="45" t="s">
        <v>113</v>
      </c>
      <c r="AO39" s="46" t="s">
        <v>568</v>
      </c>
      <c r="AP39" s="46" t="s">
        <v>650</v>
      </c>
      <c r="AQ39" s="47" t="s">
        <v>116</v>
      </c>
      <c r="AR39" s="47" t="s">
        <v>651</v>
      </c>
      <c r="AS39" s="266" t="s">
        <v>652</v>
      </c>
      <c r="AT39" s="49" t="s">
        <v>598</v>
      </c>
      <c r="AU39" s="24" t="s">
        <v>653</v>
      </c>
      <c r="AV39" s="51" t="s">
        <v>654</v>
      </c>
      <c r="AW39" s="52" t="s">
        <v>398</v>
      </c>
      <c r="AX39" s="21" t="s">
        <v>414</v>
      </c>
      <c r="AY39" s="54">
        <f t="shared" si="0"/>
        <v>22652000</v>
      </c>
      <c r="AZ39" s="117"/>
      <c r="BA39" s="117"/>
      <c r="BB39" s="117"/>
      <c r="BC39" s="117"/>
      <c r="BD39" s="33" t="s">
        <v>400</v>
      </c>
      <c r="BE39" s="33">
        <v>4</v>
      </c>
      <c r="BF39" s="52" t="s">
        <v>230</v>
      </c>
      <c r="BG39" s="56">
        <v>5663000</v>
      </c>
      <c r="BH39" s="57"/>
      <c r="BI39" s="57"/>
      <c r="BJ39" s="57"/>
      <c r="BK39" s="57"/>
      <c r="BL39" s="57"/>
      <c r="BM39" s="58"/>
      <c r="BN39" s="28" t="s">
        <v>323</v>
      </c>
      <c r="BO39" s="28" t="s">
        <v>324</v>
      </c>
      <c r="BP39" s="32">
        <v>31907790</v>
      </c>
      <c r="BQ39" s="52"/>
      <c r="BR39" s="21" t="s">
        <v>126</v>
      </c>
      <c r="BS39" s="59" t="s">
        <v>127</v>
      </c>
      <c r="BT39" s="60">
        <v>46036</v>
      </c>
      <c r="BU39" s="85">
        <v>4500402125</v>
      </c>
      <c r="BV39" s="62">
        <v>46037</v>
      </c>
      <c r="BW39" s="60">
        <v>46037</v>
      </c>
      <c r="BX39" s="60">
        <v>46037</v>
      </c>
      <c r="BY39" s="64"/>
      <c r="BZ39" s="64"/>
      <c r="CA39" s="64"/>
      <c r="CB39" s="64"/>
      <c r="CC39" s="64"/>
      <c r="CD39" s="64"/>
      <c r="CE39" s="67" t="s">
        <v>655</v>
      </c>
      <c r="CF39" s="224" t="s">
        <v>656</v>
      </c>
      <c r="CG39" s="69" t="s">
        <v>657</v>
      </c>
      <c r="CH39" s="33">
        <v>3185301471</v>
      </c>
      <c r="CI39" s="70" t="s">
        <v>131</v>
      </c>
      <c r="CJ39" s="70">
        <v>18</v>
      </c>
      <c r="CK39" s="70">
        <v>5</v>
      </c>
      <c r="CL39" s="70">
        <v>1982</v>
      </c>
      <c r="CM39" s="71">
        <f t="shared" si="6"/>
        <v>42</v>
      </c>
    </row>
    <row r="40" spans="1:91" ht="33" customHeight="1" x14ac:dyDescent="0.25">
      <c r="A40" s="20" t="s">
        <v>91</v>
      </c>
      <c r="B40" s="21" t="s">
        <v>92</v>
      </c>
      <c r="C40" s="21" t="s">
        <v>93</v>
      </c>
      <c r="D40" s="22" t="s">
        <v>94</v>
      </c>
      <c r="E40" s="23" t="s">
        <v>95</v>
      </c>
      <c r="F40" s="24" t="s">
        <v>96</v>
      </c>
      <c r="G40" s="25" t="s">
        <v>97</v>
      </c>
      <c r="H40" s="88" t="s">
        <v>111</v>
      </c>
      <c r="I40" s="27" t="s">
        <v>281</v>
      </c>
      <c r="J40" s="28" t="s">
        <v>323</v>
      </c>
      <c r="K40" s="28" t="s">
        <v>324</v>
      </c>
      <c r="L40" s="26" t="s">
        <v>100</v>
      </c>
      <c r="M40" s="27" t="s">
        <v>99</v>
      </c>
      <c r="N40" s="28"/>
      <c r="O40" s="28"/>
      <c r="P40" s="28" t="s">
        <v>186</v>
      </c>
      <c r="Q40" s="28" t="s">
        <v>187</v>
      </c>
      <c r="R40" s="261" t="s">
        <v>618</v>
      </c>
      <c r="S40" s="186" t="s">
        <v>619</v>
      </c>
      <c r="T40" s="31" t="s">
        <v>102</v>
      </c>
      <c r="U40" s="33"/>
      <c r="V40" s="37">
        <v>3500254255</v>
      </c>
      <c r="W40" s="34">
        <v>46027</v>
      </c>
      <c r="X40" s="35">
        <v>962010000</v>
      </c>
      <c r="Y40" s="31" t="s">
        <v>103</v>
      </c>
      <c r="Z40" s="39" t="s">
        <v>620</v>
      </c>
      <c r="AA40" s="37">
        <v>20124</v>
      </c>
      <c r="AB40" s="38" t="s">
        <v>105</v>
      </c>
      <c r="AC40" s="39" t="s">
        <v>106</v>
      </c>
      <c r="AD40" s="42" t="s">
        <v>107</v>
      </c>
      <c r="AE40" s="41" t="s">
        <v>108</v>
      </c>
      <c r="AF40" s="33" t="s">
        <v>102</v>
      </c>
      <c r="AG40" s="33"/>
      <c r="AH40" s="33" t="s">
        <v>658</v>
      </c>
      <c r="AI40" s="37" t="s">
        <v>659</v>
      </c>
      <c r="AJ40" s="255" t="s">
        <v>660</v>
      </c>
      <c r="AK40" s="78" t="s">
        <v>661</v>
      </c>
      <c r="AL40" s="267"/>
      <c r="AM40" s="80"/>
      <c r="AN40" s="205" t="s">
        <v>113</v>
      </c>
      <c r="AO40" s="46" t="s">
        <v>136</v>
      </c>
      <c r="AP40" s="46" t="s">
        <v>662</v>
      </c>
      <c r="AQ40" s="47" t="s">
        <v>116</v>
      </c>
      <c r="AR40" s="47" t="s">
        <v>663</v>
      </c>
      <c r="AS40" s="94" t="s">
        <v>664</v>
      </c>
      <c r="AT40" s="49" t="s">
        <v>179</v>
      </c>
      <c r="AU40" s="24" t="s">
        <v>665</v>
      </c>
      <c r="AV40" s="51" t="s">
        <v>666</v>
      </c>
      <c r="AW40" s="52" t="s">
        <v>122</v>
      </c>
      <c r="AX40" s="21" t="s">
        <v>164</v>
      </c>
      <c r="AY40" s="54">
        <f t="shared" si="0"/>
        <v>37482000</v>
      </c>
      <c r="AZ40" s="84"/>
      <c r="BA40" s="84"/>
      <c r="BB40" s="84"/>
      <c r="BC40" s="84"/>
      <c r="BD40" s="33" t="s">
        <v>124</v>
      </c>
      <c r="BE40" s="33">
        <v>6</v>
      </c>
      <c r="BF40" s="52" t="s">
        <v>165</v>
      </c>
      <c r="BG40" s="56">
        <v>6247000</v>
      </c>
      <c r="BH40" s="57"/>
      <c r="BI40" s="57"/>
      <c r="BJ40" s="57"/>
      <c r="BK40" s="57"/>
      <c r="BL40" s="57"/>
      <c r="BM40" s="58"/>
      <c r="BN40" s="28" t="s">
        <v>323</v>
      </c>
      <c r="BO40" s="28" t="s">
        <v>324</v>
      </c>
      <c r="BP40" s="32">
        <v>31907790</v>
      </c>
      <c r="BQ40" s="52"/>
      <c r="BR40" s="21" t="s">
        <v>126</v>
      </c>
      <c r="BS40" s="59" t="s">
        <v>127</v>
      </c>
      <c r="BT40" s="60">
        <v>46035</v>
      </c>
      <c r="BU40" s="85">
        <v>4500399956</v>
      </c>
      <c r="BV40" s="62">
        <v>46035</v>
      </c>
      <c r="BW40" s="60">
        <v>46036</v>
      </c>
      <c r="BX40" s="60">
        <v>46036</v>
      </c>
      <c r="BY40" s="64"/>
      <c r="BZ40" s="64"/>
      <c r="CA40" s="64"/>
      <c r="CB40" s="64"/>
      <c r="CC40" s="64"/>
      <c r="CD40" s="64"/>
      <c r="CE40" s="199" t="s">
        <v>667</v>
      </c>
      <c r="CF40" s="224" t="s">
        <v>668</v>
      </c>
      <c r="CG40" s="69" t="s">
        <v>669</v>
      </c>
      <c r="CH40" s="33">
        <v>3042253233</v>
      </c>
      <c r="CI40" s="70" t="s">
        <v>131</v>
      </c>
      <c r="CJ40" s="71">
        <v>15</v>
      </c>
      <c r="CK40" s="71">
        <v>6</v>
      </c>
      <c r="CL40" s="71">
        <v>1980</v>
      </c>
      <c r="CM40" s="71">
        <f t="shared" si="6"/>
        <v>44</v>
      </c>
    </row>
    <row r="41" spans="1:91" ht="33" customHeight="1" x14ac:dyDescent="0.25">
      <c r="A41" s="20" t="s">
        <v>91</v>
      </c>
      <c r="B41" s="21" t="s">
        <v>92</v>
      </c>
      <c r="C41" s="21" t="s">
        <v>93</v>
      </c>
      <c r="D41" s="22" t="s">
        <v>94</v>
      </c>
      <c r="E41" s="23" t="s">
        <v>95</v>
      </c>
      <c r="F41" s="24" t="s">
        <v>96</v>
      </c>
      <c r="G41" s="25" t="s">
        <v>97</v>
      </c>
      <c r="H41" s="88" t="s">
        <v>111</v>
      </c>
      <c r="I41" s="27" t="s">
        <v>281</v>
      </c>
      <c r="J41" s="28" t="s">
        <v>323</v>
      </c>
      <c r="K41" s="28" t="s">
        <v>324</v>
      </c>
      <c r="L41" s="26" t="s">
        <v>100</v>
      </c>
      <c r="M41" s="27" t="s">
        <v>99</v>
      </c>
      <c r="N41" s="28"/>
      <c r="O41" s="28"/>
      <c r="P41" s="28" t="s">
        <v>186</v>
      </c>
      <c r="Q41" s="28" t="s">
        <v>187</v>
      </c>
      <c r="R41" s="261" t="s">
        <v>618</v>
      </c>
      <c r="S41" s="186" t="s">
        <v>619</v>
      </c>
      <c r="T41" s="31" t="s">
        <v>102</v>
      </c>
      <c r="U41" s="33"/>
      <c r="V41" s="37">
        <v>3500254255</v>
      </c>
      <c r="W41" s="34">
        <v>46027</v>
      </c>
      <c r="X41" s="35">
        <v>962010000</v>
      </c>
      <c r="Y41" s="31" t="s">
        <v>103</v>
      </c>
      <c r="Z41" s="39" t="s">
        <v>620</v>
      </c>
      <c r="AA41" s="37">
        <v>20124</v>
      </c>
      <c r="AB41" s="38" t="s">
        <v>105</v>
      </c>
      <c r="AC41" s="39" t="s">
        <v>106</v>
      </c>
      <c r="AD41" s="42" t="s">
        <v>107</v>
      </c>
      <c r="AE41" s="268" t="s">
        <v>152</v>
      </c>
      <c r="AF41" s="33" t="s">
        <v>102</v>
      </c>
      <c r="AG41" s="33"/>
      <c r="AH41" s="33" t="s">
        <v>670</v>
      </c>
      <c r="AI41" s="37" t="s">
        <v>671</v>
      </c>
      <c r="AJ41" s="212" t="s">
        <v>672</v>
      </c>
      <c r="AK41" s="43" t="s">
        <v>673</v>
      </c>
      <c r="AL41" s="92">
        <v>7</v>
      </c>
      <c r="AM41" s="80"/>
      <c r="AN41" s="45" t="s">
        <v>113</v>
      </c>
      <c r="AO41" s="46" t="s">
        <v>568</v>
      </c>
      <c r="AP41" s="46" t="s">
        <v>674</v>
      </c>
      <c r="AQ41" s="47" t="s">
        <v>116</v>
      </c>
      <c r="AR41" s="47" t="s">
        <v>675</v>
      </c>
      <c r="AS41" s="82" t="s">
        <v>676</v>
      </c>
      <c r="AT41" s="244" t="s">
        <v>226</v>
      </c>
      <c r="AU41" s="24" t="s">
        <v>677</v>
      </c>
      <c r="AV41" s="51" t="s">
        <v>678</v>
      </c>
      <c r="AW41" s="52" t="s">
        <v>398</v>
      </c>
      <c r="AX41" s="21" t="s">
        <v>414</v>
      </c>
      <c r="AY41" s="54">
        <f t="shared" si="0"/>
        <v>22652000</v>
      </c>
      <c r="AZ41" s="117"/>
      <c r="BA41" s="117"/>
      <c r="BB41" s="117"/>
      <c r="BC41" s="117"/>
      <c r="BD41" s="33" t="s">
        <v>400</v>
      </c>
      <c r="BE41" s="33">
        <v>4</v>
      </c>
      <c r="BF41" s="52" t="s">
        <v>230</v>
      </c>
      <c r="BG41" s="56">
        <v>5663000</v>
      </c>
      <c r="BH41" s="57"/>
      <c r="BI41" s="57"/>
      <c r="BJ41" s="57"/>
      <c r="BK41" s="57"/>
      <c r="BL41" s="57"/>
      <c r="BM41" s="96"/>
      <c r="BN41" s="28" t="s">
        <v>323</v>
      </c>
      <c r="BO41" s="28" t="s">
        <v>324</v>
      </c>
      <c r="BP41" s="32">
        <v>31907790</v>
      </c>
      <c r="BQ41" s="52"/>
      <c r="BR41" s="21" t="s">
        <v>126</v>
      </c>
      <c r="BS41" s="59" t="s">
        <v>127</v>
      </c>
      <c r="BT41" s="60">
        <v>46030</v>
      </c>
      <c r="BU41" s="85">
        <v>4500397142</v>
      </c>
      <c r="BV41" s="62">
        <v>46031</v>
      </c>
      <c r="BW41" s="60">
        <v>46032</v>
      </c>
      <c r="BX41" s="60">
        <v>46032</v>
      </c>
      <c r="BY41" s="64"/>
      <c r="BZ41" s="64"/>
      <c r="CA41" s="64"/>
      <c r="CB41" s="64"/>
      <c r="CC41" s="64"/>
      <c r="CD41" s="64"/>
      <c r="CE41" s="67" t="s">
        <v>679</v>
      </c>
      <c r="CF41" s="80" t="s">
        <v>680</v>
      </c>
      <c r="CG41" s="69" t="s">
        <v>681</v>
      </c>
      <c r="CH41" s="33">
        <v>3148217366</v>
      </c>
      <c r="CI41" s="70" t="s">
        <v>131</v>
      </c>
      <c r="CJ41" s="70">
        <v>30</v>
      </c>
      <c r="CK41" s="70">
        <v>11</v>
      </c>
      <c r="CL41" s="70">
        <v>1955</v>
      </c>
      <c r="CM41" s="71">
        <f>2025-CL41</f>
        <v>70</v>
      </c>
    </row>
    <row r="42" spans="1:91" ht="33" customHeight="1" x14ac:dyDescent="0.25">
      <c r="A42" s="98" t="s">
        <v>91</v>
      </c>
      <c r="B42" s="99" t="s">
        <v>92</v>
      </c>
      <c r="C42" s="99" t="s">
        <v>93</v>
      </c>
      <c r="D42" s="22" t="s">
        <v>94</v>
      </c>
      <c r="E42" s="100" t="s">
        <v>95</v>
      </c>
      <c r="F42" s="101" t="s">
        <v>96</v>
      </c>
      <c r="G42" s="102" t="s">
        <v>97</v>
      </c>
      <c r="H42" s="230" t="s">
        <v>111</v>
      </c>
      <c r="I42" s="231" t="s">
        <v>281</v>
      </c>
      <c r="J42" s="120" t="s">
        <v>201</v>
      </c>
      <c r="K42" s="99" t="s">
        <v>202</v>
      </c>
      <c r="L42" s="26" t="s">
        <v>100</v>
      </c>
      <c r="M42" s="27" t="s">
        <v>99</v>
      </c>
      <c r="N42" s="103"/>
      <c r="O42" s="103"/>
      <c r="P42" s="104" t="s">
        <v>186</v>
      </c>
      <c r="Q42" s="104" t="s">
        <v>187</v>
      </c>
      <c r="R42" s="105" t="s">
        <v>188</v>
      </c>
      <c r="S42" s="106" t="s">
        <v>189</v>
      </c>
      <c r="T42" s="107" t="s">
        <v>102</v>
      </c>
      <c r="U42" s="108"/>
      <c r="V42" s="37">
        <v>3500254255</v>
      </c>
      <c r="W42" s="34">
        <v>46027</v>
      </c>
      <c r="X42" s="35">
        <v>962010000</v>
      </c>
      <c r="Y42" s="31" t="s">
        <v>103</v>
      </c>
      <c r="Z42" s="39" t="s">
        <v>190</v>
      </c>
      <c r="AA42" s="37">
        <v>20124</v>
      </c>
      <c r="AB42" s="38" t="s">
        <v>105</v>
      </c>
      <c r="AC42" s="39" t="s">
        <v>106</v>
      </c>
      <c r="AD42" s="40" t="s">
        <v>107</v>
      </c>
      <c r="AE42" s="41" t="s">
        <v>108</v>
      </c>
      <c r="AF42" s="37" t="s">
        <v>102</v>
      </c>
      <c r="AG42" s="37"/>
      <c r="AH42" s="33" t="s">
        <v>682</v>
      </c>
      <c r="AI42" s="37" t="s">
        <v>683</v>
      </c>
      <c r="AJ42" s="212" t="s">
        <v>684</v>
      </c>
      <c r="AK42" s="109" t="s">
        <v>685</v>
      </c>
      <c r="AL42" s="132"/>
      <c r="AM42" s="80"/>
      <c r="AN42" s="45" t="s">
        <v>373</v>
      </c>
      <c r="AO42" s="102" t="s">
        <v>136</v>
      </c>
      <c r="AP42" s="49" t="s">
        <v>686</v>
      </c>
      <c r="AQ42" s="112" t="s">
        <v>116</v>
      </c>
      <c r="AR42" s="112" t="s">
        <v>687</v>
      </c>
      <c r="AS42" s="82" t="s">
        <v>688</v>
      </c>
      <c r="AT42" s="49" t="s">
        <v>689</v>
      </c>
      <c r="AU42" s="101" t="s">
        <v>559</v>
      </c>
      <c r="AV42" s="83" t="s">
        <v>560</v>
      </c>
      <c r="AW42" s="52" t="s">
        <v>122</v>
      </c>
      <c r="AX42" s="21" t="s">
        <v>526</v>
      </c>
      <c r="AY42" s="54">
        <f t="shared" si="0"/>
        <v>42216000</v>
      </c>
      <c r="AZ42" s="84"/>
      <c r="BA42" s="84"/>
      <c r="BB42" s="84"/>
      <c r="BC42" s="84"/>
      <c r="BD42" s="33" t="s">
        <v>124</v>
      </c>
      <c r="BE42" s="33">
        <v>6</v>
      </c>
      <c r="BF42" s="52" t="s">
        <v>466</v>
      </c>
      <c r="BG42" s="269">
        <v>7036000</v>
      </c>
      <c r="BH42" s="118"/>
      <c r="BI42" s="118"/>
      <c r="BJ42" s="118"/>
      <c r="BK42" s="118"/>
      <c r="BL42" s="118"/>
      <c r="BM42" s="119"/>
      <c r="BN42" s="120" t="s">
        <v>201</v>
      </c>
      <c r="BO42" s="99" t="s">
        <v>202</v>
      </c>
      <c r="BP42" s="37">
        <v>1098603026</v>
      </c>
      <c r="BQ42" s="52"/>
      <c r="BR42" s="21" t="s">
        <v>126</v>
      </c>
      <c r="BS42" s="59" t="s">
        <v>127</v>
      </c>
      <c r="BT42" s="60">
        <v>46036</v>
      </c>
      <c r="BU42" s="85">
        <v>4500401087</v>
      </c>
      <c r="BV42" s="62">
        <v>46036</v>
      </c>
      <c r="BW42" s="60">
        <v>46036</v>
      </c>
      <c r="BX42" s="60">
        <v>46037</v>
      </c>
      <c r="BY42" s="64"/>
      <c r="BZ42" s="64"/>
      <c r="CA42" s="64"/>
      <c r="CB42" s="64"/>
      <c r="CC42" s="64"/>
      <c r="CD42" s="64"/>
      <c r="CE42" s="97" t="s">
        <v>690</v>
      </c>
      <c r="CF42" s="270" t="s">
        <v>691</v>
      </c>
      <c r="CG42" s="271" t="s">
        <v>692</v>
      </c>
      <c r="CH42" s="37">
        <v>3004358797</v>
      </c>
      <c r="CI42" s="272" t="s">
        <v>169</v>
      </c>
      <c r="CJ42" s="272">
        <v>4</v>
      </c>
      <c r="CK42" s="272">
        <v>1</v>
      </c>
      <c r="CL42" s="272">
        <v>1986</v>
      </c>
      <c r="CM42" s="140">
        <f>2024-CL42</f>
        <v>38</v>
      </c>
    </row>
    <row r="43" spans="1:91" ht="33" customHeight="1" x14ac:dyDescent="0.25">
      <c r="A43" s="20" t="s">
        <v>91</v>
      </c>
      <c r="B43" s="21" t="s">
        <v>92</v>
      </c>
      <c r="C43" s="21" t="s">
        <v>93</v>
      </c>
      <c r="D43" s="22" t="s">
        <v>94</v>
      </c>
      <c r="E43" s="23" t="s">
        <v>95</v>
      </c>
      <c r="F43" s="24" t="s">
        <v>96</v>
      </c>
      <c r="G43" s="25" t="s">
        <v>97</v>
      </c>
      <c r="H43" s="88" t="s">
        <v>111</v>
      </c>
      <c r="I43" s="27" t="s">
        <v>281</v>
      </c>
      <c r="J43" s="28" t="s">
        <v>323</v>
      </c>
      <c r="K43" s="28" t="s">
        <v>324</v>
      </c>
      <c r="L43" s="26" t="s">
        <v>100</v>
      </c>
      <c r="M43" s="27" t="s">
        <v>99</v>
      </c>
      <c r="N43" s="28"/>
      <c r="O43" s="28"/>
      <c r="P43" s="28" t="s">
        <v>186</v>
      </c>
      <c r="Q43" s="28" t="s">
        <v>187</v>
      </c>
      <c r="R43" s="261" t="s">
        <v>618</v>
      </c>
      <c r="S43" s="186" t="s">
        <v>619</v>
      </c>
      <c r="T43" s="31" t="s">
        <v>102</v>
      </c>
      <c r="U43" s="33"/>
      <c r="V43" s="37">
        <v>3500254255</v>
      </c>
      <c r="W43" s="34">
        <v>46027</v>
      </c>
      <c r="X43" s="35">
        <v>962010000</v>
      </c>
      <c r="Y43" s="31" t="s">
        <v>103</v>
      </c>
      <c r="Z43" s="39" t="s">
        <v>620</v>
      </c>
      <c r="AA43" s="37">
        <v>20124</v>
      </c>
      <c r="AB43" s="38" t="s">
        <v>105</v>
      </c>
      <c r="AC43" s="39" t="s">
        <v>106</v>
      </c>
      <c r="AD43" s="42" t="s">
        <v>107</v>
      </c>
      <c r="AE43" s="41" t="s">
        <v>108</v>
      </c>
      <c r="AF43" s="33" t="s">
        <v>102</v>
      </c>
      <c r="AG43" s="33"/>
      <c r="AH43" s="33" t="s">
        <v>693</v>
      </c>
      <c r="AI43" s="37" t="s">
        <v>694</v>
      </c>
      <c r="AJ43" s="212" t="s">
        <v>695</v>
      </c>
      <c r="AK43" s="78" t="s">
        <v>696</v>
      </c>
      <c r="AL43" s="92"/>
      <c r="AM43" s="80"/>
      <c r="AN43" s="45" t="s">
        <v>113</v>
      </c>
      <c r="AO43" s="46" t="s">
        <v>136</v>
      </c>
      <c r="AP43" s="46" t="s">
        <v>697</v>
      </c>
      <c r="AQ43" s="47" t="s">
        <v>116</v>
      </c>
      <c r="AR43" s="226" t="s">
        <v>698</v>
      </c>
      <c r="AS43" s="273" t="s">
        <v>699</v>
      </c>
      <c r="AT43" s="264" t="s">
        <v>119</v>
      </c>
      <c r="AU43" s="24" t="s">
        <v>700</v>
      </c>
      <c r="AV43" s="51" t="s">
        <v>701</v>
      </c>
      <c r="AW43" s="52" t="s">
        <v>122</v>
      </c>
      <c r="AX43" s="21" t="s">
        <v>123</v>
      </c>
      <c r="AY43" s="54">
        <f t="shared" si="0"/>
        <v>46956000</v>
      </c>
      <c r="AZ43" s="84"/>
      <c r="BA43" s="84"/>
      <c r="BB43" s="84"/>
      <c r="BC43" s="84"/>
      <c r="BD43" s="33" t="s">
        <v>124</v>
      </c>
      <c r="BE43" s="33">
        <v>6</v>
      </c>
      <c r="BF43" s="52" t="s">
        <v>125</v>
      </c>
      <c r="BG43" s="56">
        <v>7826000</v>
      </c>
      <c r="BH43" s="84"/>
      <c r="BI43" s="84"/>
      <c r="BJ43" s="84"/>
      <c r="BK43" s="84"/>
      <c r="BL43" s="84">
        <f>BG43/1.19</f>
        <v>6576470.5882352944</v>
      </c>
      <c r="BM43" s="84">
        <f>BL43*19%</f>
        <v>1249529.411764706</v>
      </c>
      <c r="BN43" s="28" t="s">
        <v>323</v>
      </c>
      <c r="BO43" s="28" t="s">
        <v>324</v>
      </c>
      <c r="BP43" s="32">
        <v>31907790</v>
      </c>
      <c r="BQ43" s="52"/>
      <c r="BR43" s="21" t="s">
        <v>126</v>
      </c>
      <c r="BS43" s="274" t="s">
        <v>127</v>
      </c>
      <c r="BT43" s="60">
        <v>46031</v>
      </c>
      <c r="BU43" s="275">
        <v>4500399964</v>
      </c>
      <c r="BV43" s="276">
        <v>46035</v>
      </c>
      <c r="BW43" s="60">
        <v>46032</v>
      </c>
      <c r="BX43" s="60">
        <v>46035</v>
      </c>
      <c r="BY43" s="64"/>
      <c r="BZ43" s="64"/>
      <c r="CA43" s="64"/>
      <c r="CB43" s="64"/>
      <c r="CC43" s="64"/>
      <c r="CD43" s="64"/>
      <c r="CE43" s="97" t="s">
        <v>702</v>
      </c>
      <c r="CF43" s="33" t="s">
        <v>703</v>
      </c>
      <c r="CG43" s="88" t="s">
        <v>704</v>
      </c>
      <c r="CH43" s="33">
        <v>3187855059</v>
      </c>
      <c r="CI43" s="31" t="s">
        <v>185</v>
      </c>
      <c r="CJ43" s="71">
        <v>25</v>
      </c>
      <c r="CK43" s="71">
        <v>9</v>
      </c>
      <c r="CL43" s="71">
        <v>1955</v>
      </c>
      <c r="CM43" s="71">
        <f>2025-CL43</f>
        <v>70</v>
      </c>
    </row>
    <row r="44" spans="1:91" ht="33" customHeight="1" x14ac:dyDescent="0.25">
      <c r="A44" s="20" t="s">
        <v>91</v>
      </c>
      <c r="B44" s="21" t="s">
        <v>92</v>
      </c>
      <c r="C44" s="21" t="s">
        <v>93</v>
      </c>
      <c r="D44" s="22" t="s">
        <v>94</v>
      </c>
      <c r="E44" s="23" t="s">
        <v>95</v>
      </c>
      <c r="F44" s="24" t="s">
        <v>96</v>
      </c>
      <c r="G44" s="25" t="s">
        <v>97</v>
      </c>
      <c r="H44" s="88" t="s">
        <v>111</v>
      </c>
      <c r="I44" s="27" t="s">
        <v>281</v>
      </c>
      <c r="J44" s="90" t="s">
        <v>201</v>
      </c>
      <c r="K44" s="21" t="s">
        <v>202</v>
      </c>
      <c r="L44" s="26" t="s">
        <v>100</v>
      </c>
      <c r="M44" s="27" t="s">
        <v>99</v>
      </c>
      <c r="N44" s="28"/>
      <c r="O44" s="28"/>
      <c r="P44" s="28" t="s">
        <v>186</v>
      </c>
      <c r="Q44" s="28" t="s">
        <v>187</v>
      </c>
      <c r="R44" s="73" t="s">
        <v>188</v>
      </c>
      <c r="S44" s="74" t="s">
        <v>189</v>
      </c>
      <c r="T44" s="31" t="s">
        <v>102</v>
      </c>
      <c r="U44" s="75"/>
      <c r="V44" s="37">
        <v>3500254255</v>
      </c>
      <c r="W44" s="34">
        <v>46027</v>
      </c>
      <c r="X44" s="35">
        <v>962010000</v>
      </c>
      <c r="Y44" s="31" t="s">
        <v>103</v>
      </c>
      <c r="Z44" s="39" t="s">
        <v>190</v>
      </c>
      <c r="AA44" s="37">
        <v>20124</v>
      </c>
      <c r="AB44" s="38" t="s">
        <v>105</v>
      </c>
      <c r="AC44" s="39" t="s">
        <v>106</v>
      </c>
      <c r="AD44" s="40" t="s">
        <v>107</v>
      </c>
      <c r="AE44" s="172" t="s">
        <v>576</v>
      </c>
      <c r="AF44" s="37" t="s">
        <v>102</v>
      </c>
      <c r="AG44" s="37"/>
      <c r="AH44" s="33" t="s">
        <v>705</v>
      </c>
      <c r="AI44" s="37" t="s">
        <v>706</v>
      </c>
      <c r="AJ44" s="255" t="s">
        <v>707</v>
      </c>
      <c r="AK44" s="78" t="s">
        <v>708</v>
      </c>
      <c r="AL44" s="183"/>
      <c r="AM44" s="80"/>
      <c r="AN44" s="45" t="s">
        <v>113</v>
      </c>
      <c r="AO44" s="46" t="s">
        <v>568</v>
      </c>
      <c r="AP44" s="46" t="s">
        <v>709</v>
      </c>
      <c r="AQ44" s="47" t="s">
        <v>116</v>
      </c>
      <c r="AR44" s="47" t="s">
        <v>710</v>
      </c>
      <c r="AS44" s="82" t="s">
        <v>711</v>
      </c>
      <c r="AT44" s="49" t="s">
        <v>226</v>
      </c>
      <c r="AU44" s="24" t="s">
        <v>712</v>
      </c>
      <c r="AV44" s="83" t="s">
        <v>573</v>
      </c>
      <c r="AW44" s="52" t="s">
        <v>122</v>
      </c>
      <c r="AX44" s="21" t="s">
        <v>229</v>
      </c>
      <c r="AY44" s="54">
        <f t="shared" si="0"/>
        <v>33978000</v>
      </c>
      <c r="AZ44" s="117"/>
      <c r="BA44" s="117"/>
      <c r="BB44" s="117"/>
      <c r="BC44" s="117"/>
      <c r="BD44" s="33" t="s">
        <v>124</v>
      </c>
      <c r="BE44" s="33">
        <v>6</v>
      </c>
      <c r="BF44" s="52" t="s">
        <v>230</v>
      </c>
      <c r="BG44" s="56">
        <v>5663000</v>
      </c>
      <c r="BH44" s="57"/>
      <c r="BI44" s="57"/>
      <c r="BJ44" s="57"/>
      <c r="BK44" s="57"/>
      <c r="BL44" s="57"/>
      <c r="BM44" s="58"/>
      <c r="BN44" s="90" t="s">
        <v>201</v>
      </c>
      <c r="BO44" s="21" t="s">
        <v>202</v>
      </c>
      <c r="BP44" s="33">
        <v>1098603026</v>
      </c>
      <c r="BQ44" s="52"/>
      <c r="BR44" s="21" t="s">
        <v>126</v>
      </c>
      <c r="BS44" s="59" t="s">
        <v>127</v>
      </c>
      <c r="BT44" s="60">
        <v>46030</v>
      </c>
      <c r="BU44" s="85">
        <v>4500397475</v>
      </c>
      <c r="BV44" s="62">
        <v>46031</v>
      </c>
      <c r="BW44" s="60">
        <v>46031</v>
      </c>
      <c r="BX44" s="60">
        <v>46031</v>
      </c>
      <c r="BY44" s="277"/>
      <c r="BZ44" s="277"/>
      <c r="CA44" s="277"/>
      <c r="CB44" s="277"/>
      <c r="CC44" s="277"/>
      <c r="CD44" s="277"/>
      <c r="CE44" s="278" t="s">
        <v>713</v>
      </c>
      <c r="CF44" s="33" t="s">
        <v>714</v>
      </c>
      <c r="CG44" s="253"/>
      <c r="CH44" s="33">
        <v>3234695328</v>
      </c>
      <c r="CI44" s="55"/>
      <c r="CJ44" s="55"/>
      <c r="CK44" s="55"/>
      <c r="CL44" s="55"/>
      <c r="CM44" s="55"/>
    </row>
    <row r="45" spans="1:91" ht="33" customHeight="1" x14ac:dyDescent="0.25">
      <c r="A45" s="20" t="s">
        <v>91</v>
      </c>
      <c r="B45" s="21" t="s">
        <v>92</v>
      </c>
      <c r="C45" s="21" t="s">
        <v>93</v>
      </c>
      <c r="D45" s="22" t="s">
        <v>94</v>
      </c>
      <c r="E45" s="23" t="s">
        <v>95</v>
      </c>
      <c r="F45" s="24" t="s">
        <v>96</v>
      </c>
      <c r="G45" s="25" t="s">
        <v>97</v>
      </c>
      <c r="H45" s="88" t="s">
        <v>111</v>
      </c>
      <c r="I45" s="27" t="s">
        <v>281</v>
      </c>
      <c r="J45" s="28" t="s">
        <v>323</v>
      </c>
      <c r="K45" s="28" t="s">
        <v>324</v>
      </c>
      <c r="L45" s="26" t="s">
        <v>100</v>
      </c>
      <c r="M45" s="27" t="s">
        <v>99</v>
      </c>
      <c r="N45" s="28"/>
      <c r="O45" s="28"/>
      <c r="P45" s="28" t="s">
        <v>186</v>
      </c>
      <c r="Q45" s="28" t="s">
        <v>187</v>
      </c>
      <c r="R45" s="279" t="s">
        <v>715</v>
      </c>
      <c r="S45" s="186" t="s">
        <v>716</v>
      </c>
      <c r="T45" s="31" t="s">
        <v>102</v>
      </c>
      <c r="U45" s="75"/>
      <c r="V45" s="37">
        <v>3500254255</v>
      </c>
      <c r="W45" s="34">
        <v>46027</v>
      </c>
      <c r="X45" s="35">
        <v>962010000</v>
      </c>
      <c r="Y45" s="31" t="s">
        <v>103</v>
      </c>
      <c r="Z45" s="39" t="s">
        <v>717</v>
      </c>
      <c r="AA45" s="37">
        <v>20124</v>
      </c>
      <c r="AB45" s="38" t="s">
        <v>105</v>
      </c>
      <c r="AC45" s="39" t="s">
        <v>106</v>
      </c>
      <c r="AD45" s="40" t="s">
        <v>107</v>
      </c>
      <c r="AE45" s="41" t="s">
        <v>152</v>
      </c>
      <c r="AF45" s="33" t="s">
        <v>102</v>
      </c>
      <c r="AG45" s="33"/>
      <c r="AH45" s="33" t="s">
        <v>718</v>
      </c>
      <c r="AI45" s="37" t="s">
        <v>719</v>
      </c>
      <c r="AJ45" s="212" t="s">
        <v>720</v>
      </c>
      <c r="AK45" s="78" t="s">
        <v>721</v>
      </c>
      <c r="AL45" s="92">
        <v>0</v>
      </c>
      <c r="AM45" s="33"/>
      <c r="AN45" s="45" t="s">
        <v>113</v>
      </c>
      <c r="AO45" s="28" t="s">
        <v>568</v>
      </c>
      <c r="AP45" s="46" t="s">
        <v>722</v>
      </c>
      <c r="AQ45" s="248" t="s">
        <v>116</v>
      </c>
      <c r="AR45" s="248" t="s">
        <v>723</v>
      </c>
      <c r="AS45" s="237" t="s">
        <v>724</v>
      </c>
      <c r="AT45" s="244" t="s">
        <v>226</v>
      </c>
      <c r="AU45" s="25" t="s">
        <v>725</v>
      </c>
      <c r="AV45" s="51" t="s">
        <v>726</v>
      </c>
      <c r="AW45" s="52" t="s">
        <v>398</v>
      </c>
      <c r="AX45" s="21" t="s">
        <v>414</v>
      </c>
      <c r="AY45" s="54">
        <f t="shared" si="0"/>
        <v>22652000</v>
      </c>
      <c r="AZ45" s="84"/>
      <c r="BA45" s="84"/>
      <c r="BB45" s="84"/>
      <c r="BC45" s="84"/>
      <c r="BD45" s="33" t="s">
        <v>400</v>
      </c>
      <c r="BE45" s="33">
        <v>4</v>
      </c>
      <c r="BF45" s="52" t="s">
        <v>230</v>
      </c>
      <c r="BG45" s="56">
        <v>5663000</v>
      </c>
      <c r="BH45" s="57"/>
      <c r="BI45" s="57"/>
      <c r="BJ45" s="57"/>
      <c r="BK45" s="57"/>
      <c r="BL45" s="57"/>
      <c r="BM45" s="280"/>
      <c r="BN45" s="28" t="s">
        <v>323</v>
      </c>
      <c r="BO45" s="28" t="s">
        <v>324</v>
      </c>
      <c r="BP45" s="32">
        <v>31907790</v>
      </c>
      <c r="BQ45" s="52"/>
      <c r="BR45" s="21" t="s">
        <v>126</v>
      </c>
      <c r="BS45" s="59" t="s">
        <v>127</v>
      </c>
      <c r="BT45" s="60">
        <v>46031</v>
      </c>
      <c r="BU45" s="85">
        <v>4500399312</v>
      </c>
      <c r="BV45" s="62">
        <v>46035</v>
      </c>
      <c r="BW45" s="60">
        <v>46035</v>
      </c>
      <c r="BX45" s="60">
        <v>46035</v>
      </c>
      <c r="BY45" s="277"/>
      <c r="BZ45" s="277"/>
      <c r="CA45" s="277"/>
      <c r="CB45" s="277"/>
      <c r="CC45" s="277"/>
      <c r="CD45" s="277"/>
      <c r="CE45" s="278" t="s">
        <v>727</v>
      </c>
      <c r="CF45" s="33" t="s">
        <v>728</v>
      </c>
      <c r="CG45" s="188" t="s">
        <v>729</v>
      </c>
      <c r="CH45" s="33">
        <v>3105415208</v>
      </c>
      <c r="CI45" s="70" t="s">
        <v>131</v>
      </c>
      <c r="CJ45" s="71">
        <v>9</v>
      </c>
      <c r="CK45" s="71">
        <v>3</v>
      </c>
      <c r="CL45" s="71">
        <v>1979</v>
      </c>
      <c r="CM45" s="71">
        <f t="shared" ref="CM45:CM48" si="7">2024-CL45</f>
        <v>45</v>
      </c>
    </row>
    <row r="46" spans="1:91" ht="33" customHeight="1" x14ac:dyDescent="0.25">
      <c r="A46" s="20" t="s">
        <v>91</v>
      </c>
      <c r="B46" s="21" t="s">
        <v>92</v>
      </c>
      <c r="C46" s="21" t="s">
        <v>93</v>
      </c>
      <c r="D46" s="22" t="s">
        <v>94</v>
      </c>
      <c r="E46" s="23" t="s">
        <v>95</v>
      </c>
      <c r="F46" s="24" t="s">
        <v>96</v>
      </c>
      <c r="G46" s="25" t="s">
        <v>97</v>
      </c>
      <c r="H46" s="88" t="s">
        <v>111</v>
      </c>
      <c r="I46" s="27" t="s">
        <v>281</v>
      </c>
      <c r="J46" s="28" t="s">
        <v>323</v>
      </c>
      <c r="K46" s="28" t="s">
        <v>324</v>
      </c>
      <c r="L46" s="26" t="s">
        <v>100</v>
      </c>
      <c r="M46" s="27" t="s">
        <v>99</v>
      </c>
      <c r="N46" s="28"/>
      <c r="O46" s="28"/>
      <c r="P46" s="28" t="s">
        <v>186</v>
      </c>
      <c r="Q46" s="28" t="s">
        <v>187</v>
      </c>
      <c r="R46" s="261" t="s">
        <v>618</v>
      </c>
      <c r="S46" s="186" t="s">
        <v>619</v>
      </c>
      <c r="T46" s="31" t="s">
        <v>102</v>
      </c>
      <c r="U46" s="33"/>
      <c r="V46" s="37">
        <v>3500254255</v>
      </c>
      <c r="W46" s="34">
        <v>46027</v>
      </c>
      <c r="X46" s="35">
        <v>962010000</v>
      </c>
      <c r="Y46" s="31" t="s">
        <v>103</v>
      </c>
      <c r="Z46" s="39" t="s">
        <v>620</v>
      </c>
      <c r="AA46" s="37">
        <v>20124</v>
      </c>
      <c r="AB46" s="38" t="s">
        <v>105</v>
      </c>
      <c r="AC46" s="39" t="s">
        <v>106</v>
      </c>
      <c r="AD46" s="42" t="s">
        <v>107</v>
      </c>
      <c r="AE46" s="41" t="s">
        <v>152</v>
      </c>
      <c r="AF46" s="33" t="s">
        <v>102</v>
      </c>
      <c r="AG46" s="33"/>
      <c r="AH46" s="33" t="s">
        <v>730</v>
      </c>
      <c r="AI46" s="37" t="s">
        <v>731</v>
      </c>
      <c r="AJ46" s="212" t="s">
        <v>732</v>
      </c>
      <c r="AK46" s="78" t="s">
        <v>733</v>
      </c>
      <c r="AL46" s="92"/>
      <c r="AM46" s="33"/>
      <c r="AN46" s="45" t="s">
        <v>113</v>
      </c>
      <c r="AO46" s="28" t="s">
        <v>568</v>
      </c>
      <c r="AP46" s="25" t="s">
        <v>734</v>
      </c>
      <c r="AQ46" s="248" t="s">
        <v>116</v>
      </c>
      <c r="AR46" s="281" t="s">
        <v>735</v>
      </c>
      <c r="AS46" s="237" t="s">
        <v>736</v>
      </c>
      <c r="AT46" s="28" t="s">
        <v>737</v>
      </c>
      <c r="AU46" s="51" t="s">
        <v>677</v>
      </c>
      <c r="AV46" s="51" t="s">
        <v>738</v>
      </c>
      <c r="AW46" s="52" t="s">
        <v>122</v>
      </c>
      <c r="AX46" s="21" t="s">
        <v>229</v>
      </c>
      <c r="AY46" s="54">
        <f t="shared" si="0"/>
        <v>33978000</v>
      </c>
      <c r="AZ46" s="84"/>
      <c r="BA46" s="84"/>
      <c r="BB46" s="84"/>
      <c r="BC46" s="84"/>
      <c r="BD46" s="33" t="s">
        <v>124</v>
      </c>
      <c r="BE46" s="33">
        <v>6</v>
      </c>
      <c r="BF46" s="52" t="s">
        <v>230</v>
      </c>
      <c r="BG46" s="56">
        <v>5663000</v>
      </c>
      <c r="BH46" s="57"/>
      <c r="BI46" s="57"/>
      <c r="BJ46" s="57"/>
      <c r="BK46" s="57"/>
      <c r="BL46" s="57"/>
      <c r="BM46" s="280"/>
      <c r="BN46" s="28" t="s">
        <v>323</v>
      </c>
      <c r="BO46" s="28" t="s">
        <v>324</v>
      </c>
      <c r="BP46" s="32">
        <v>31907790</v>
      </c>
      <c r="BQ46" s="52"/>
      <c r="BR46" s="21" t="s">
        <v>126</v>
      </c>
      <c r="BS46" s="59" t="s">
        <v>127</v>
      </c>
      <c r="BT46" s="60">
        <v>46030</v>
      </c>
      <c r="BU46" s="85">
        <v>4500397156</v>
      </c>
      <c r="BV46" s="62">
        <v>46031</v>
      </c>
      <c r="BW46" s="60">
        <v>46035</v>
      </c>
      <c r="BX46" s="60">
        <v>46035</v>
      </c>
      <c r="BY46" s="277"/>
      <c r="BZ46" s="277"/>
      <c r="CA46" s="277"/>
      <c r="CB46" s="277"/>
      <c r="CC46" s="277"/>
      <c r="CD46" s="277"/>
      <c r="CE46" s="282" t="s">
        <v>739</v>
      </c>
      <c r="CF46" s="224" t="s">
        <v>740</v>
      </c>
      <c r="CG46" s="69" t="s">
        <v>741</v>
      </c>
      <c r="CH46" s="33">
        <v>3163126693</v>
      </c>
      <c r="CI46" s="70" t="s">
        <v>131</v>
      </c>
      <c r="CJ46" s="71">
        <v>5</v>
      </c>
      <c r="CK46" s="71">
        <v>1</v>
      </c>
      <c r="CL46" s="71">
        <v>1994</v>
      </c>
      <c r="CM46" s="71">
        <f t="shared" si="7"/>
        <v>30</v>
      </c>
    </row>
    <row r="47" spans="1:91" ht="33" customHeight="1" x14ac:dyDescent="0.25">
      <c r="A47" s="20" t="s">
        <v>91</v>
      </c>
      <c r="B47" s="21" t="s">
        <v>92</v>
      </c>
      <c r="C47" s="21" t="s">
        <v>93</v>
      </c>
      <c r="D47" s="22" t="s">
        <v>94</v>
      </c>
      <c r="E47" s="23" t="s">
        <v>95</v>
      </c>
      <c r="F47" s="24" t="s">
        <v>96</v>
      </c>
      <c r="G47" s="25" t="s">
        <v>97</v>
      </c>
      <c r="H47" s="88" t="s">
        <v>111</v>
      </c>
      <c r="I47" s="27" t="s">
        <v>281</v>
      </c>
      <c r="J47" s="28" t="s">
        <v>323</v>
      </c>
      <c r="K47" s="28" t="s">
        <v>324</v>
      </c>
      <c r="L47" s="26" t="s">
        <v>100</v>
      </c>
      <c r="M47" s="27" t="s">
        <v>99</v>
      </c>
      <c r="N47" s="28"/>
      <c r="O47" s="28"/>
      <c r="P47" s="28" t="s">
        <v>186</v>
      </c>
      <c r="Q47" s="28" t="s">
        <v>187</v>
      </c>
      <c r="R47" s="210" t="s">
        <v>604</v>
      </c>
      <c r="S47" s="283" t="s">
        <v>605</v>
      </c>
      <c r="T47" s="31" t="s">
        <v>102</v>
      </c>
      <c r="U47" s="75"/>
      <c r="V47" s="37">
        <v>3500254255</v>
      </c>
      <c r="W47" s="34">
        <v>46027</v>
      </c>
      <c r="X47" s="35">
        <v>962010000</v>
      </c>
      <c r="Y47" s="31" t="s">
        <v>103</v>
      </c>
      <c r="Z47" s="36" t="s">
        <v>742</v>
      </c>
      <c r="AA47" s="37">
        <v>20124</v>
      </c>
      <c r="AB47" s="38" t="s">
        <v>105</v>
      </c>
      <c r="AC47" s="39" t="s">
        <v>251</v>
      </c>
      <c r="AD47" s="40" t="s">
        <v>252</v>
      </c>
      <c r="AE47" s="152" t="s">
        <v>253</v>
      </c>
      <c r="AF47" s="33"/>
      <c r="AG47" s="33" t="s">
        <v>102</v>
      </c>
      <c r="AH47" s="33" t="s">
        <v>743</v>
      </c>
      <c r="AI47" s="37" t="s">
        <v>744</v>
      </c>
      <c r="AJ47" s="212" t="s">
        <v>745</v>
      </c>
      <c r="AK47" s="78" t="s">
        <v>746</v>
      </c>
      <c r="AL47" s="44">
        <v>3</v>
      </c>
      <c r="AM47" s="33"/>
      <c r="AN47" s="45" t="s">
        <v>113</v>
      </c>
      <c r="AO47" s="102" t="s">
        <v>393</v>
      </c>
      <c r="AP47" s="104" t="s">
        <v>747</v>
      </c>
      <c r="AQ47" s="31" t="s">
        <v>260</v>
      </c>
      <c r="AR47" s="31" t="s">
        <v>260</v>
      </c>
      <c r="AS47" s="154" t="s">
        <v>748</v>
      </c>
      <c r="AT47" s="212" t="s">
        <v>262</v>
      </c>
      <c r="AU47" s="51" t="s">
        <v>749</v>
      </c>
      <c r="AV47" s="51" t="s">
        <v>750</v>
      </c>
      <c r="AW47" s="52" t="s">
        <v>122</v>
      </c>
      <c r="AX47" s="21" t="s">
        <v>399</v>
      </c>
      <c r="AY47" s="54">
        <f t="shared" si="0"/>
        <v>14204000</v>
      </c>
      <c r="AZ47" s="55"/>
      <c r="BA47" s="55"/>
      <c r="BB47" s="55"/>
      <c r="BC47" s="55"/>
      <c r="BD47" s="33" t="s">
        <v>400</v>
      </c>
      <c r="BE47" s="33">
        <v>4</v>
      </c>
      <c r="BF47" s="52" t="s">
        <v>266</v>
      </c>
      <c r="BG47" s="56">
        <v>3551000</v>
      </c>
      <c r="BH47" s="57"/>
      <c r="BI47" s="57"/>
      <c r="BJ47" s="57"/>
      <c r="BK47" s="57"/>
      <c r="BL47" s="57"/>
      <c r="BM47" s="284"/>
      <c r="BN47" s="28" t="s">
        <v>323</v>
      </c>
      <c r="BO47" s="28" t="s">
        <v>324</v>
      </c>
      <c r="BP47" s="32">
        <v>31907790</v>
      </c>
      <c r="BQ47" s="52"/>
      <c r="BR47" s="21" t="s">
        <v>126</v>
      </c>
      <c r="BS47" s="59" t="s">
        <v>127</v>
      </c>
      <c r="BT47" s="60">
        <v>46031</v>
      </c>
      <c r="BU47" s="85">
        <v>4500399376</v>
      </c>
      <c r="BV47" s="62">
        <v>46035</v>
      </c>
      <c r="BW47" s="60">
        <v>46036</v>
      </c>
      <c r="BX47" s="60">
        <v>46036</v>
      </c>
      <c r="BY47" s="277"/>
      <c r="BZ47" s="277"/>
      <c r="CA47" s="277"/>
      <c r="CB47" s="277"/>
      <c r="CC47" s="277"/>
      <c r="CD47" s="277"/>
      <c r="CE47" s="278" t="s">
        <v>751</v>
      </c>
      <c r="CF47" s="33" t="s">
        <v>752</v>
      </c>
      <c r="CG47" s="188" t="s">
        <v>753</v>
      </c>
      <c r="CH47" s="33">
        <v>3153041281</v>
      </c>
      <c r="CI47" s="70" t="s">
        <v>131</v>
      </c>
      <c r="CJ47" s="71">
        <v>24</v>
      </c>
      <c r="CK47" s="71">
        <v>12</v>
      </c>
      <c r="CL47" s="71">
        <v>1998</v>
      </c>
      <c r="CM47" s="71">
        <f t="shared" si="7"/>
        <v>26</v>
      </c>
    </row>
    <row r="48" spans="1:91" ht="33" customHeight="1" x14ac:dyDescent="0.25">
      <c r="A48" s="20" t="s">
        <v>91</v>
      </c>
      <c r="B48" s="21" t="s">
        <v>92</v>
      </c>
      <c r="C48" s="21" t="s">
        <v>93</v>
      </c>
      <c r="D48" s="22" t="s">
        <v>94</v>
      </c>
      <c r="E48" s="23" t="s">
        <v>95</v>
      </c>
      <c r="F48" s="24" t="s">
        <v>96</v>
      </c>
      <c r="G48" s="25" t="s">
        <v>97</v>
      </c>
      <c r="H48" s="88" t="s">
        <v>111</v>
      </c>
      <c r="I48" s="27" t="s">
        <v>281</v>
      </c>
      <c r="J48" s="28" t="s">
        <v>323</v>
      </c>
      <c r="K48" s="28" t="s">
        <v>324</v>
      </c>
      <c r="L48" s="26" t="s">
        <v>100</v>
      </c>
      <c r="M48" s="27" t="s">
        <v>99</v>
      </c>
      <c r="N48" s="28"/>
      <c r="O48" s="28"/>
      <c r="P48" s="28" t="s">
        <v>186</v>
      </c>
      <c r="Q48" s="28" t="s">
        <v>187</v>
      </c>
      <c r="R48" s="185" t="s">
        <v>754</v>
      </c>
      <c r="S48" s="261" t="s">
        <v>755</v>
      </c>
      <c r="T48" s="31" t="s">
        <v>102</v>
      </c>
      <c r="U48" s="33"/>
      <c r="V48" s="33">
        <v>3500254256</v>
      </c>
      <c r="W48" s="34">
        <v>46027</v>
      </c>
      <c r="X48" s="35">
        <v>67956000</v>
      </c>
      <c r="Y48" s="31" t="s">
        <v>103</v>
      </c>
      <c r="Z48" s="36" t="s">
        <v>756</v>
      </c>
      <c r="AA48" s="37">
        <v>20124</v>
      </c>
      <c r="AB48" s="38">
        <v>83940</v>
      </c>
      <c r="AC48" s="39" t="s">
        <v>106</v>
      </c>
      <c r="AD48" s="40" t="s">
        <v>107</v>
      </c>
      <c r="AE48" s="41" t="s">
        <v>152</v>
      </c>
      <c r="AF48" s="33" t="s">
        <v>102</v>
      </c>
      <c r="AG48" s="33"/>
      <c r="AH48" s="33" t="s">
        <v>757</v>
      </c>
      <c r="AI48" s="37" t="s">
        <v>758</v>
      </c>
      <c r="AJ48" s="212" t="s">
        <v>759</v>
      </c>
      <c r="AK48" s="78" t="s">
        <v>760</v>
      </c>
      <c r="AL48" s="92"/>
      <c r="AM48" s="33"/>
      <c r="AN48" s="45" t="s">
        <v>113</v>
      </c>
      <c r="AO48" s="25" t="s">
        <v>761</v>
      </c>
      <c r="AP48" s="25" t="s">
        <v>762</v>
      </c>
      <c r="AQ48" s="31" t="s">
        <v>260</v>
      </c>
      <c r="AR48" s="31" t="s">
        <v>260</v>
      </c>
      <c r="AS48" s="237" t="s">
        <v>763</v>
      </c>
      <c r="AT48" s="102" t="s">
        <v>598</v>
      </c>
      <c r="AU48" s="51" t="s">
        <v>764</v>
      </c>
      <c r="AV48" s="51" t="s">
        <v>765</v>
      </c>
      <c r="AW48" s="52" t="s">
        <v>122</v>
      </c>
      <c r="AX48" s="21" t="s">
        <v>414</v>
      </c>
      <c r="AY48" s="54">
        <f t="shared" si="0"/>
        <v>22652000</v>
      </c>
      <c r="AZ48" s="84"/>
      <c r="BA48" s="84"/>
      <c r="BB48" s="84"/>
      <c r="BC48" s="84"/>
      <c r="BD48" s="33" t="s">
        <v>400</v>
      </c>
      <c r="BE48" s="33">
        <v>4</v>
      </c>
      <c r="BF48" s="52" t="s">
        <v>230</v>
      </c>
      <c r="BG48" s="56">
        <v>5663000</v>
      </c>
      <c r="BH48" s="95"/>
      <c r="BI48" s="95"/>
      <c r="BJ48" s="95"/>
      <c r="BK48" s="95"/>
      <c r="BL48" s="95"/>
      <c r="BM48" s="284"/>
      <c r="BN48" s="28" t="s">
        <v>323</v>
      </c>
      <c r="BO48" s="28" t="s">
        <v>324</v>
      </c>
      <c r="BP48" s="32">
        <v>31907790</v>
      </c>
      <c r="BQ48" s="52"/>
      <c r="BR48" s="21" t="s">
        <v>126</v>
      </c>
      <c r="BS48" s="59" t="s">
        <v>127</v>
      </c>
      <c r="BT48" s="60">
        <v>46032</v>
      </c>
      <c r="BU48" s="85">
        <v>4500399973</v>
      </c>
      <c r="BV48" s="62">
        <v>46035</v>
      </c>
      <c r="BW48" s="60">
        <v>46035</v>
      </c>
      <c r="BX48" s="60">
        <v>46035</v>
      </c>
      <c r="BY48" s="277"/>
      <c r="BZ48" s="277"/>
      <c r="CA48" s="277"/>
      <c r="CB48" s="277"/>
      <c r="CC48" s="277"/>
      <c r="CD48" s="277"/>
      <c r="CE48" s="278" t="s">
        <v>766</v>
      </c>
      <c r="CF48" s="33" t="s">
        <v>767</v>
      </c>
      <c r="CG48" s="188" t="s">
        <v>768</v>
      </c>
      <c r="CH48" s="33">
        <v>3176595803</v>
      </c>
      <c r="CI48" s="70" t="s">
        <v>131</v>
      </c>
      <c r="CJ48" s="71">
        <v>11</v>
      </c>
      <c r="CK48" s="71">
        <v>9</v>
      </c>
      <c r="CL48" s="71">
        <v>1990</v>
      </c>
      <c r="CM48" s="71">
        <f t="shared" si="7"/>
        <v>34</v>
      </c>
    </row>
    <row r="49" spans="1:91" ht="41.25" customHeight="1" x14ac:dyDescent="0.25">
      <c r="A49" s="98" t="s">
        <v>91</v>
      </c>
      <c r="B49" s="99" t="s">
        <v>92</v>
      </c>
      <c r="C49" s="99" t="s">
        <v>93</v>
      </c>
      <c r="D49" s="22" t="s">
        <v>94</v>
      </c>
      <c r="E49" s="100" t="s">
        <v>95</v>
      </c>
      <c r="F49" s="101" t="s">
        <v>96</v>
      </c>
      <c r="G49" s="83" t="s">
        <v>97</v>
      </c>
      <c r="H49" s="88" t="s">
        <v>111</v>
      </c>
      <c r="I49" s="27" t="s">
        <v>281</v>
      </c>
      <c r="J49" s="28" t="s">
        <v>323</v>
      </c>
      <c r="K49" s="28" t="s">
        <v>324</v>
      </c>
      <c r="L49" s="26" t="s">
        <v>100</v>
      </c>
      <c r="M49" s="27" t="s">
        <v>99</v>
      </c>
      <c r="N49" s="103"/>
      <c r="O49" s="103"/>
      <c r="P49" s="104" t="s">
        <v>186</v>
      </c>
      <c r="Q49" s="104" t="s">
        <v>187</v>
      </c>
      <c r="R49" s="285" t="s">
        <v>618</v>
      </c>
      <c r="S49" s="286" t="s">
        <v>619</v>
      </c>
      <c r="T49" s="107" t="s">
        <v>102</v>
      </c>
      <c r="U49" s="287"/>
      <c r="V49" s="37">
        <v>3500254255</v>
      </c>
      <c r="W49" s="34">
        <v>46027</v>
      </c>
      <c r="X49" s="35">
        <v>962010000</v>
      </c>
      <c r="Y49" s="31" t="s">
        <v>103</v>
      </c>
      <c r="Z49" s="39" t="s">
        <v>620</v>
      </c>
      <c r="AA49" s="37">
        <v>20124</v>
      </c>
      <c r="AB49" s="38" t="s">
        <v>105</v>
      </c>
      <c r="AC49" s="39" t="s">
        <v>106</v>
      </c>
      <c r="AD49" s="40" t="s">
        <v>107</v>
      </c>
      <c r="AE49" s="91" t="s">
        <v>152</v>
      </c>
      <c r="AF49" s="37" t="s">
        <v>769</v>
      </c>
      <c r="AG49" s="37"/>
      <c r="AH49" s="33" t="s">
        <v>770</v>
      </c>
      <c r="AI49" s="37" t="s">
        <v>771</v>
      </c>
      <c r="AJ49" s="288" t="s">
        <v>772</v>
      </c>
      <c r="AK49" s="289" t="s">
        <v>773</v>
      </c>
      <c r="AL49" s="37">
        <v>6</v>
      </c>
      <c r="AM49" s="33"/>
      <c r="AN49" s="45" t="s">
        <v>113</v>
      </c>
      <c r="AO49" s="290" t="s">
        <v>568</v>
      </c>
      <c r="AP49" s="290" t="s">
        <v>774</v>
      </c>
      <c r="AQ49" s="291" t="s">
        <v>116</v>
      </c>
      <c r="AR49" s="291" t="s">
        <v>775</v>
      </c>
      <c r="AS49" s="99" t="s">
        <v>776</v>
      </c>
      <c r="AT49" s="102" t="s">
        <v>598</v>
      </c>
      <c r="AU49" s="83" t="s">
        <v>777</v>
      </c>
      <c r="AV49" s="83" t="s">
        <v>778</v>
      </c>
      <c r="AW49" s="52" t="s">
        <v>122</v>
      </c>
      <c r="AX49" s="21" t="s">
        <v>414</v>
      </c>
      <c r="AY49" s="54">
        <f t="shared" si="0"/>
        <v>22652000</v>
      </c>
      <c r="AZ49" s="128"/>
      <c r="BA49" s="128"/>
      <c r="BB49" s="128"/>
      <c r="BC49" s="128"/>
      <c r="BD49" s="33" t="s">
        <v>400</v>
      </c>
      <c r="BE49" s="33">
        <v>4</v>
      </c>
      <c r="BF49" s="52" t="s">
        <v>230</v>
      </c>
      <c r="BG49" s="56">
        <v>5663000</v>
      </c>
      <c r="BH49" s="57"/>
      <c r="BI49" s="57"/>
      <c r="BJ49" s="57"/>
      <c r="BK49" s="57"/>
      <c r="BL49" s="57"/>
      <c r="BM49" s="284"/>
      <c r="BN49" s="28" t="s">
        <v>323</v>
      </c>
      <c r="BO49" s="49" t="s">
        <v>324</v>
      </c>
      <c r="BP49" s="32">
        <v>31907790</v>
      </c>
      <c r="BQ49" s="52"/>
      <c r="BR49" s="21" t="s">
        <v>126</v>
      </c>
      <c r="BS49" s="59" t="s">
        <v>127</v>
      </c>
      <c r="BT49" s="60">
        <v>46031</v>
      </c>
      <c r="BU49" s="85">
        <v>4500399384</v>
      </c>
      <c r="BV49" s="135">
        <v>46035</v>
      </c>
      <c r="BW49" s="134">
        <v>46035</v>
      </c>
      <c r="BX49" s="134">
        <v>46035</v>
      </c>
      <c r="BY49" s="292"/>
      <c r="BZ49" s="292"/>
      <c r="CA49" s="292"/>
      <c r="CB49" s="292"/>
      <c r="CC49" s="292"/>
      <c r="CD49" s="292"/>
      <c r="CE49" s="293" t="s">
        <v>779</v>
      </c>
      <c r="CF49" s="125" t="s">
        <v>780</v>
      </c>
      <c r="CG49" s="230"/>
      <c r="CH49" s="127">
        <v>3218315481</v>
      </c>
      <c r="CI49" s="140"/>
      <c r="CJ49" s="140"/>
      <c r="CK49" s="140"/>
      <c r="CL49" s="140"/>
      <c r="CM49" s="128"/>
    </row>
    <row r="50" spans="1:91" ht="33" customHeight="1" x14ac:dyDescent="0.25">
      <c r="A50" s="294" t="s">
        <v>91</v>
      </c>
      <c r="B50" s="295" t="s">
        <v>92</v>
      </c>
      <c r="C50" s="295" t="s">
        <v>93</v>
      </c>
      <c r="D50" s="296" t="s">
        <v>94</v>
      </c>
      <c r="E50" s="297" t="s">
        <v>95</v>
      </c>
      <c r="F50" s="214" t="s">
        <v>96</v>
      </c>
      <c r="G50" s="51" t="s">
        <v>97</v>
      </c>
      <c r="H50" s="88" t="s">
        <v>111</v>
      </c>
      <c r="I50" s="27" t="s">
        <v>281</v>
      </c>
      <c r="J50" s="28" t="s">
        <v>323</v>
      </c>
      <c r="K50" s="28" t="s">
        <v>324</v>
      </c>
      <c r="L50" s="26" t="s">
        <v>100</v>
      </c>
      <c r="M50" s="27" t="s">
        <v>99</v>
      </c>
      <c r="N50" s="46"/>
      <c r="O50" s="46"/>
      <c r="P50" s="46" t="s">
        <v>186</v>
      </c>
      <c r="Q50" s="298" t="s">
        <v>100</v>
      </c>
      <c r="R50" s="299" t="s">
        <v>604</v>
      </c>
      <c r="S50" s="283" t="s">
        <v>605</v>
      </c>
      <c r="T50" s="300" t="s">
        <v>102</v>
      </c>
      <c r="U50" s="301"/>
      <c r="V50" s="37">
        <v>3500254255</v>
      </c>
      <c r="W50" s="34">
        <v>46027</v>
      </c>
      <c r="X50" s="35">
        <v>962010000</v>
      </c>
      <c r="Y50" s="31" t="s">
        <v>103</v>
      </c>
      <c r="Z50" s="168" t="s">
        <v>742</v>
      </c>
      <c r="AA50" s="37">
        <v>20124</v>
      </c>
      <c r="AB50" s="169" t="s">
        <v>105</v>
      </c>
      <c r="AC50" s="170" t="s">
        <v>251</v>
      </c>
      <c r="AD50" s="77" t="s">
        <v>252</v>
      </c>
      <c r="AE50" s="302" t="s">
        <v>253</v>
      </c>
      <c r="AF50" s="80"/>
      <c r="AG50" s="80" t="s">
        <v>102</v>
      </c>
      <c r="AH50" s="33" t="s">
        <v>781</v>
      </c>
      <c r="AI50" s="37" t="s">
        <v>782</v>
      </c>
      <c r="AJ50" s="255" t="s">
        <v>783</v>
      </c>
      <c r="AK50" s="303" t="s">
        <v>784</v>
      </c>
      <c r="AL50" s="304"/>
      <c r="AM50" s="305"/>
      <c r="AN50" s="45" t="s">
        <v>113</v>
      </c>
      <c r="AO50" s="51" t="s">
        <v>393</v>
      </c>
      <c r="AP50" s="51" t="s">
        <v>785</v>
      </c>
      <c r="AQ50" s="300" t="s">
        <v>260</v>
      </c>
      <c r="AR50" s="300" t="s">
        <v>260</v>
      </c>
      <c r="AS50" s="83" t="s">
        <v>786</v>
      </c>
      <c r="AT50" s="51" t="s">
        <v>262</v>
      </c>
      <c r="AU50" s="51" t="s">
        <v>787</v>
      </c>
      <c r="AV50" s="25" t="s">
        <v>750</v>
      </c>
      <c r="AW50" s="52" t="s">
        <v>398</v>
      </c>
      <c r="AX50" s="21" t="s">
        <v>399</v>
      </c>
      <c r="AY50" s="54">
        <f t="shared" si="0"/>
        <v>14204000</v>
      </c>
      <c r="AZ50" s="306"/>
      <c r="BA50" s="306"/>
      <c r="BB50" s="306"/>
      <c r="BC50" s="306"/>
      <c r="BD50" s="33" t="s">
        <v>400</v>
      </c>
      <c r="BE50" s="33">
        <v>4</v>
      </c>
      <c r="BF50" s="52" t="s">
        <v>266</v>
      </c>
      <c r="BG50" s="56">
        <v>3551000</v>
      </c>
      <c r="BH50" s="307"/>
      <c r="BI50" s="307"/>
      <c r="BJ50" s="307"/>
      <c r="BK50" s="307"/>
      <c r="BL50" s="307"/>
      <c r="BM50" s="284"/>
      <c r="BN50" s="28" t="s">
        <v>323</v>
      </c>
      <c r="BO50" s="46" t="s">
        <v>324</v>
      </c>
      <c r="BP50" s="32">
        <v>31907790</v>
      </c>
      <c r="BQ50" s="52"/>
      <c r="BR50" s="21" t="s">
        <v>126</v>
      </c>
      <c r="BS50" s="59" t="s">
        <v>127</v>
      </c>
      <c r="BT50" s="60">
        <v>46031</v>
      </c>
      <c r="BU50" s="85">
        <v>4500397165</v>
      </c>
      <c r="BV50" s="135">
        <v>46031</v>
      </c>
      <c r="BW50" s="134">
        <v>46032</v>
      </c>
      <c r="BX50" s="134">
        <v>46032</v>
      </c>
      <c r="BY50" s="292"/>
      <c r="BZ50" s="292"/>
      <c r="CA50" s="292"/>
      <c r="CB50" s="292"/>
      <c r="CC50" s="292"/>
      <c r="CD50" s="292"/>
      <c r="CE50" s="308" t="s">
        <v>788</v>
      </c>
      <c r="CF50" s="33" t="s">
        <v>789</v>
      </c>
      <c r="CG50" s="309" t="s">
        <v>790</v>
      </c>
      <c r="CH50" s="33">
        <v>3206344606</v>
      </c>
      <c r="CI50" s="310" t="s">
        <v>131</v>
      </c>
      <c r="CJ50" s="311">
        <v>2</v>
      </c>
      <c r="CK50" s="311">
        <v>9</v>
      </c>
      <c r="CL50" s="311">
        <v>1998</v>
      </c>
      <c r="CM50" s="311">
        <f t="shared" ref="CM50:CM52" si="8">2024-CL50</f>
        <v>26</v>
      </c>
    </row>
    <row r="51" spans="1:91" ht="33" customHeight="1" x14ac:dyDescent="0.25">
      <c r="A51" s="20" t="s">
        <v>91</v>
      </c>
      <c r="B51" s="21" t="s">
        <v>92</v>
      </c>
      <c r="C51" s="21" t="s">
        <v>93</v>
      </c>
      <c r="D51" s="22" t="s">
        <v>94</v>
      </c>
      <c r="E51" s="23" t="s">
        <v>95</v>
      </c>
      <c r="F51" s="24" t="s">
        <v>96</v>
      </c>
      <c r="G51" s="25" t="s">
        <v>97</v>
      </c>
      <c r="H51" s="88" t="s">
        <v>111</v>
      </c>
      <c r="I51" s="27" t="s">
        <v>281</v>
      </c>
      <c r="J51" s="28" t="s">
        <v>323</v>
      </c>
      <c r="K51" s="28" t="s">
        <v>324</v>
      </c>
      <c r="L51" s="26" t="s">
        <v>100</v>
      </c>
      <c r="M51" s="27" t="s">
        <v>99</v>
      </c>
      <c r="N51" s="28"/>
      <c r="O51" s="28"/>
      <c r="P51" s="28" t="s">
        <v>150</v>
      </c>
      <c r="Q51" s="28"/>
      <c r="R51" s="30"/>
      <c r="S51" s="245"/>
      <c r="T51" s="31"/>
      <c r="U51" s="32" t="s">
        <v>102</v>
      </c>
      <c r="V51" s="33">
        <v>3700028004</v>
      </c>
      <c r="W51" s="34">
        <v>46027</v>
      </c>
      <c r="X51" s="35">
        <v>1531992000</v>
      </c>
      <c r="Y51" s="31" t="s">
        <v>103</v>
      </c>
      <c r="Z51" s="36" t="s">
        <v>217</v>
      </c>
      <c r="AA51" s="37">
        <v>20115</v>
      </c>
      <c r="AB51" s="38" t="s">
        <v>105</v>
      </c>
      <c r="AC51" s="39" t="s">
        <v>251</v>
      </c>
      <c r="AD51" s="40" t="s">
        <v>252</v>
      </c>
      <c r="AE51" s="152" t="s">
        <v>282</v>
      </c>
      <c r="AF51" s="33"/>
      <c r="AG51" s="33" t="s">
        <v>102</v>
      </c>
      <c r="AH51" s="33" t="s">
        <v>791</v>
      </c>
      <c r="AI51" s="37" t="s">
        <v>792</v>
      </c>
      <c r="AJ51" s="212" t="s">
        <v>793</v>
      </c>
      <c r="AK51" s="43">
        <v>16887090</v>
      </c>
      <c r="AL51" s="44"/>
      <c r="AM51" s="33"/>
      <c r="AN51" s="45" t="s">
        <v>113</v>
      </c>
      <c r="AO51" s="46" t="s">
        <v>287</v>
      </c>
      <c r="AP51" s="46" t="s">
        <v>794</v>
      </c>
      <c r="AQ51" s="143" t="s">
        <v>260</v>
      </c>
      <c r="AR51" s="143" t="s">
        <v>260</v>
      </c>
      <c r="AS51" s="94" t="s">
        <v>795</v>
      </c>
      <c r="AT51" s="51" t="s">
        <v>304</v>
      </c>
      <c r="AU51" s="49" t="s">
        <v>796</v>
      </c>
      <c r="AV51" s="102" t="s">
        <v>797</v>
      </c>
      <c r="AW51" s="52" t="s">
        <v>122</v>
      </c>
      <c r="AX51" s="154" t="s">
        <v>307</v>
      </c>
      <c r="AY51" s="54">
        <f t="shared" si="0"/>
        <v>16752000</v>
      </c>
      <c r="AZ51" s="116"/>
      <c r="BA51" s="116"/>
      <c r="BB51" s="116"/>
      <c r="BC51" s="116"/>
      <c r="BD51" s="33" t="s">
        <v>124</v>
      </c>
      <c r="BE51" s="33">
        <v>6</v>
      </c>
      <c r="BF51" s="52" t="s">
        <v>308</v>
      </c>
      <c r="BG51" s="56">
        <v>2792000</v>
      </c>
      <c r="BH51" s="57"/>
      <c r="BI51" s="57"/>
      <c r="BJ51" s="57"/>
      <c r="BK51" s="57"/>
      <c r="BL51" s="57"/>
      <c r="BM51" s="228"/>
      <c r="BN51" s="28" t="s">
        <v>323</v>
      </c>
      <c r="BO51" s="28" t="s">
        <v>324</v>
      </c>
      <c r="BP51" s="32">
        <v>31907790</v>
      </c>
      <c r="BQ51" s="52"/>
      <c r="BR51" s="21" t="s">
        <v>126</v>
      </c>
      <c r="BS51" s="59" t="s">
        <v>127</v>
      </c>
      <c r="BT51" s="60">
        <v>46031</v>
      </c>
      <c r="BU51" s="85">
        <v>4500399318</v>
      </c>
      <c r="BV51" s="62">
        <v>46035</v>
      </c>
      <c r="BW51" s="60">
        <v>46035</v>
      </c>
      <c r="BX51" s="60">
        <v>46035</v>
      </c>
      <c r="BY51" s="123"/>
      <c r="BZ51" s="123"/>
      <c r="CA51" s="123"/>
      <c r="CB51" s="123"/>
      <c r="CC51" s="123"/>
      <c r="CD51" s="123"/>
      <c r="CE51" s="312" t="s">
        <v>798</v>
      </c>
      <c r="CF51" s="68" t="s">
        <v>799</v>
      </c>
      <c r="CG51" s="188" t="s">
        <v>800</v>
      </c>
      <c r="CH51" s="33">
        <v>3152808194</v>
      </c>
      <c r="CI51" s="70" t="s">
        <v>131</v>
      </c>
      <c r="CJ51" s="71">
        <v>25</v>
      </c>
      <c r="CK51" s="71">
        <v>3</v>
      </c>
      <c r="CL51" s="71">
        <v>1971</v>
      </c>
      <c r="CM51" s="71">
        <f t="shared" si="8"/>
        <v>53</v>
      </c>
    </row>
    <row r="52" spans="1:91" ht="40.5" customHeight="1" x14ac:dyDescent="0.25">
      <c r="A52" s="20" t="s">
        <v>91</v>
      </c>
      <c r="B52" s="21" t="s">
        <v>92</v>
      </c>
      <c r="C52" s="21" t="s">
        <v>93</v>
      </c>
      <c r="D52" s="22" t="s">
        <v>94</v>
      </c>
      <c r="E52" s="23" t="s">
        <v>95</v>
      </c>
      <c r="F52" s="24" t="s">
        <v>96</v>
      </c>
      <c r="G52" s="25" t="s">
        <v>97</v>
      </c>
      <c r="H52" s="88" t="s">
        <v>111</v>
      </c>
      <c r="I52" s="27" t="s">
        <v>281</v>
      </c>
      <c r="J52" s="28" t="s">
        <v>323</v>
      </c>
      <c r="K52" s="28" t="s">
        <v>324</v>
      </c>
      <c r="L52" s="26" t="s">
        <v>100</v>
      </c>
      <c r="M52" s="27" t="s">
        <v>99</v>
      </c>
      <c r="N52" s="28"/>
      <c r="O52" s="28"/>
      <c r="P52" s="28" t="s">
        <v>186</v>
      </c>
      <c r="Q52" s="28" t="s">
        <v>187</v>
      </c>
      <c r="R52" s="261" t="s">
        <v>618</v>
      </c>
      <c r="S52" s="186" t="s">
        <v>619</v>
      </c>
      <c r="T52" s="31" t="s">
        <v>102</v>
      </c>
      <c r="U52" s="33"/>
      <c r="V52" s="37">
        <v>3500254255</v>
      </c>
      <c r="W52" s="34">
        <v>46027</v>
      </c>
      <c r="X52" s="35">
        <v>962010000</v>
      </c>
      <c r="Y52" s="31" t="s">
        <v>103</v>
      </c>
      <c r="Z52" s="39" t="s">
        <v>620</v>
      </c>
      <c r="AA52" s="37">
        <v>20124</v>
      </c>
      <c r="AB52" s="38" t="s">
        <v>105</v>
      </c>
      <c r="AC52" s="39" t="s">
        <v>106</v>
      </c>
      <c r="AD52" s="42" t="s">
        <v>107</v>
      </c>
      <c r="AE52" s="41" t="s">
        <v>801</v>
      </c>
      <c r="AF52" s="33" t="s">
        <v>102</v>
      </c>
      <c r="AG52" s="33"/>
      <c r="AH52" s="33" t="s">
        <v>802</v>
      </c>
      <c r="AI52" s="37" t="s">
        <v>803</v>
      </c>
      <c r="AJ52" s="212" t="s">
        <v>804</v>
      </c>
      <c r="AK52" s="43" t="s">
        <v>805</v>
      </c>
      <c r="AL52" s="92"/>
      <c r="AM52" s="33"/>
      <c r="AN52" s="45" t="s">
        <v>113</v>
      </c>
      <c r="AO52" s="25" t="s">
        <v>136</v>
      </c>
      <c r="AP52" s="104" t="s">
        <v>806</v>
      </c>
      <c r="AQ52" s="248" t="s">
        <v>116</v>
      </c>
      <c r="AR52" s="281" t="s">
        <v>807</v>
      </c>
      <c r="AS52" s="237" t="s">
        <v>808</v>
      </c>
      <c r="AT52" s="49" t="s">
        <v>179</v>
      </c>
      <c r="AU52" s="83" t="s">
        <v>809</v>
      </c>
      <c r="AV52" s="102" t="s">
        <v>701</v>
      </c>
      <c r="AW52" s="52" t="s">
        <v>398</v>
      </c>
      <c r="AX52" s="154" t="s">
        <v>810</v>
      </c>
      <c r="AY52" s="54">
        <f t="shared" si="0"/>
        <v>24988000</v>
      </c>
      <c r="AZ52" s="116"/>
      <c r="BA52" s="116"/>
      <c r="BB52" s="117"/>
      <c r="BC52" s="117"/>
      <c r="BD52" s="33" t="s">
        <v>400</v>
      </c>
      <c r="BE52" s="33">
        <v>4</v>
      </c>
      <c r="BF52" s="52" t="s">
        <v>165</v>
      </c>
      <c r="BG52" s="56">
        <v>6247000</v>
      </c>
      <c r="BH52" s="57"/>
      <c r="BI52" s="57"/>
      <c r="BJ52" s="57"/>
      <c r="BK52" s="57"/>
      <c r="BL52" s="57"/>
      <c r="BM52" s="280"/>
      <c r="BN52" s="28" t="s">
        <v>323</v>
      </c>
      <c r="BO52" s="28" t="s">
        <v>324</v>
      </c>
      <c r="BP52" s="32">
        <v>31907790</v>
      </c>
      <c r="BQ52" s="52"/>
      <c r="BR52" s="21" t="s">
        <v>126</v>
      </c>
      <c r="BS52" s="59" t="s">
        <v>127</v>
      </c>
      <c r="BT52" s="60">
        <v>46031</v>
      </c>
      <c r="BU52" s="85">
        <v>4500397169</v>
      </c>
      <c r="BV52" s="62">
        <v>46031</v>
      </c>
      <c r="BW52" s="60">
        <v>46032</v>
      </c>
      <c r="BX52" s="60">
        <v>46032</v>
      </c>
      <c r="BY52" s="123"/>
      <c r="BZ52" s="123"/>
      <c r="CA52" s="123"/>
      <c r="CB52" s="123"/>
      <c r="CC52" s="123"/>
      <c r="CD52" s="123"/>
      <c r="CE52" s="313" t="s">
        <v>811</v>
      </c>
      <c r="CF52" s="224" t="s">
        <v>812</v>
      </c>
      <c r="CG52" s="69" t="s">
        <v>813</v>
      </c>
      <c r="CH52" s="33">
        <v>3113545796</v>
      </c>
      <c r="CI52" s="70" t="s">
        <v>131</v>
      </c>
      <c r="CJ52" s="70">
        <v>14</v>
      </c>
      <c r="CK52" s="70">
        <v>1</v>
      </c>
      <c r="CL52" s="70">
        <v>1980</v>
      </c>
      <c r="CM52" s="71">
        <f t="shared" si="8"/>
        <v>44</v>
      </c>
    </row>
    <row r="53" spans="1:91" ht="45" customHeight="1" x14ac:dyDescent="0.25">
      <c r="A53" s="153" t="s">
        <v>91</v>
      </c>
      <c r="B53" s="154" t="s">
        <v>92</v>
      </c>
      <c r="C53" s="154" t="s">
        <v>93</v>
      </c>
      <c r="D53" s="296" t="s">
        <v>94</v>
      </c>
      <c r="E53" s="156" t="s">
        <v>95</v>
      </c>
      <c r="F53" s="157" t="s">
        <v>96</v>
      </c>
      <c r="G53" s="83" t="s">
        <v>97</v>
      </c>
      <c r="H53" s="88" t="s">
        <v>111</v>
      </c>
      <c r="I53" s="27" t="s">
        <v>281</v>
      </c>
      <c r="J53" s="90" t="s">
        <v>201</v>
      </c>
      <c r="K53" s="21" t="s">
        <v>202</v>
      </c>
      <c r="L53" s="26" t="s">
        <v>100</v>
      </c>
      <c r="M53" s="27" t="s">
        <v>99</v>
      </c>
      <c r="N53" s="28"/>
      <c r="O53" s="28"/>
      <c r="P53" s="28" t="s">
        <v>150</v>
      </c>
      <c r="Q53" s="314"/>
      <c r="R53" s="171"/>
      <c r="S53" s="315"/>
      <c r="T53" s="163"/>
      <c r="U53" s="167" t="s">
        <v>102</v>
      </c>
      <c r="V53" s="33">
        <v>3700028004</v>
      </c>
      <c r="W53" s="34">
        <v>46027</v>
      </c>
      <c r="X53" s="35">
        <v>1531992000</v>
      </c>
      <c r="Y53" s="31" t="s">
        <v>103</v>
      </c>
      <c r="Z53" s="168" t="s">
        <v>104</v>
      </c>
      <c r="AA53" s="37">
        <v>20115</v>
      </c>
      <c r="AB53" s="38" t="s">
        <v>105</v>
      </c>
      <c r="AC53" s="170" t="s">
        <v>106</v>
      </c>
      <c r="AD53" s="171" t="s">
        <v>107</v>
      </c>
      <c r="AE53" s="41" t="s">
        <v>801</v>
      </c>
      <c r="AF53" s="116" t="s">
        <v>102</v>
      </c>
      <c r="AG53" s="116"/>
      <c r="AH53" s="33" t="s">
        <v>814</v>
      </c>
      <c r="AI53" s="37" t="s">
        <v>815</v>
      </c>
      <c r="AJ53" s="288" t="s">
        <v>816</v>
      </c>
      <c r="AK53" s="316" t="s">
        <v>817</v>
      </c>
      <c r="AL53" s="317">
        <v>1</v>
      </c>
      <c r="AM53" s="318"/>
      <c r="AN53" s="45" t="s">
        <v>113</v>
      </c>
      <c r="AO53" s="25" t="s">
        <v>136</v>
      </c>
      <c r="AP53" s="25" t="s">
        <v>818</v>
      </c>
      <c r="AQ53" s="291" t="s">
        <v>116</v>
      </c>
      <c r="AR53" s="281" t="s">
        <v>819</v>
      </c>
      <c r="AS53" s="154" t="s">
        <v>820</v>
      </c>
      <c r="AT53" s="49" t="s">
        <v>462</v>
      </c>
      <c r="AU53" s="83" t="s">
        <v>821</v>
      </c>
      <c r="AV53" s="168" t="s">
        <v>560</v>
      </c>
      <c r="AW53" s="52" t="s">
        <v>122</v>
      </c>
      <c r="AX53" s="154" t="s">
        <v>822</v>
      </c>
      <c r="AY53" s="54">
        <f t="shared" si="0"/>
        <v>42216000</v>
      </c>
      <c r="AZ53" s="116"/>
      <c r="BA53" s="116"/>
      <c r="BB53" s="117"/>
      <c r="BC53" s="117"/>
      <c r="BD53" s="33" t="s">
        <v>124</v>
      </c>
      <c r="BE53" s="33">
        <v>6</v>
      </c>
      <c r="BF53" s="52" t="s">
        <v>466</v>
      </c>
      <c r="BG53" s="56">
        <v>7036000</v>
      </c>
      <c r="BH53" s="57"/>
      <c r="BI53" s="57"/>
      <c r="BJ53" s="57"/>
      <c r="BK53" s="57"/>
      <c r="BL53" s="57"/>
      <c r="BM53" s="280"/>
      <c r="BN53" s="90" t="s">
        <v>201</v>
      </c>
      <c r="BO53" s="21" t="s">
        <v>202</v>
      </c>
      <c r="BP53" s="33">
        <v>1098603026</v>
      </c>
      <c r="BQ53" s="52"/>
      <c r="BR53" s="21" t="s">
        <v>126</v>
      </c>
      <c r="BS53" s="59" t="s">
        <v>127</v>
      </c>
      <c r="BT53" s="60">
        <v>46030</v>
      </c>
      <c r="BU53" s="85">
        <v>4500397494</v>
      </c>
      <c r="BV53" s="62">
        <v>46031</v>
      </c>
      <c r="BW53" s="60">
        <v>46031</v>
      </c>
      <c r="BX53" s="60">
        <v>46031</v>
      </c>
      <c r="BY53" s="123"/>
      <c r="BZ53" s="123"/>
      <c r="CA53" s="123"/>
      <c r="CB53" s="123"/>
      <c r="CC53" s="123"/>
      <c r="CD53" s="123"/>
      <c r="CE53" s="124" t="s">
        <v>823</v>
      </c>
      <c r="CF53" s="125" t="s">
        <v>824</v>
      </c>
      <c r="CG53" s="181"/>
      <c r="CH53" s="127">
        <v>3183494386</v>
      </c>
      <c r="CI53" s="182"/>
      <c r="CJ53" s="182"/>
      <c r="CK53" s="182"/>
      <c r="CL53" s="182"/>
      <c r="CM53" s="319"/>
    </row>
    <row r="54" spans="1:91" ht="45" customHeight="1" x14ac:dyDescent="0.25">
      <c r="A54" s="153" t="s">
        <v>91</v>
      </c>
      <c r="B54" s="154" t="s">
        <v>92</v>
      </c>
      <c r="C54" s="154" t="s">
        <v>93</v>
      </c>
      <c r="D54" s="296" t="s">
        <v>94</v>
      </c>
      <c r="E54" s="156" t="s">
        <v>95</v>
      </c>
      <c r="F54" s="157" t="s">
        <v>96</v>
      </c>
      <c r="G54" s="83" t="s">
        <v>97</v>
      </c>
      <c r="H54" s="88" t="s">
        <v>111</v>
      </c>
      <c r="I54" s="27" t="s">
        <v>281</v>
      </c>
      <c r="J54" s="28" t="s">
        <v>323</v>
      </c>
      <c r="K54" s="104" t="s">
        <v>324</v>
      </c>
      <c r="L54" s="26" t="s">
        <v>100</v>
      </c>
      <c r="M54" s="27" t="s">
        <v>99</v>
      </c>
      <c r="N54" s="28"/>
      <c r="O54" s="28"/>
      <c r="P54" s="28" t="s">
        <v>186</v>
      </c>
      <c r="Q54" s="28" t="s">
        <v>187</v>
      </c>
      <c r="R54" s="261" t="s">
        <v>618</v>
      </c>
      <c r="S54" s="186" t="s">
        <v>619</v>
      </c>
      <c r="T54" s="31" t="s">
        <v>102</v>
      </c>
      <c r="U54" s="33"/>
      <c r="V54" s="37">
        <v>3500254255</v>
      </c>
      <c r="W54" s="34">
        <v>46027</v>
      </c>
      <c r="X54" s="35">
        <v>962010000</v>
      </c>
      <c r="Y54" s="31" t="s">
        <v>103</v>
      </c>
      <c r="Z54" s="39" t="s">
        <v>620</v>
      </c>
      <c r="AA54" s="37">
        <v>20124</v>
      </c>
      <c r="AB54" s="38" t="s">
        <v>105</v>
      </c>
      <c r="AC54" s="170" t="s">
        <v>106</v>
      </c>
      <c r="AD54" s="171" t="s">
        <v>107</v>
      </c>
      <c r="AE54" s="320" t="s">
        <v>152</v>
      </c>
      <c r="AF54" s="116" t="s">
        <v>102</v>
      </c>
      <c r="AG54" s="116"/>
      <c r="AH54" s="33" t="s">
        <v>825</v>
      </c>
      <c r="AI54" s="37" t="s">
        <v>826</v>
      </c>
      <c r="AJ54" s="288" t="s">
        <v>827</v>
      </c>
      <c r="AK54" s="316" t="s">
        <v>828</v>
      </c>
      <c r="AL54" s="317">
        <v>5</v>
      </c>
      <c r="AM54" s="318"/>
      <c r="AN54" s="45" t="s">
        <v>113</v>
      </c>
      <c r="AO54" s="25" t="s">
        <v>568</v>
      </c>
      <c r="AP54" s="243" t="s">
        <v>829</v>
      </c>
      <c r="AQ54" s="281" t="s">
        <v>116</v>
      </c>
      <c r="AR54" s="321" t="s">
        <v>830</v>
      </c>
      <c r="AS54" s="154" t="s">
        <v>831</v>
      </c>
      <c r="AT54" s="104" t="s">
        <v>832</v>
      </c>
      <c r="AU54" s="51" t="s">
        <v>777</v>
      </c>
      <c r="AV54" s="83" t="s">
        <v>833</v>
      </c>
      <c r="AW54" s="52" t="s">
        <v>398</v>
      </c>
      <c r="AX54" s="21" t="s">
        <v>834</v>
      </c>
      <c r="AY54" s="54">
        <f t="shared" si="0"/>
        <v>19220000</v>
      </c>
      <c r="AZ54" s="33"/>
      <c r="BA54" s="33"/>
      <c r="BB54" s="322"/>
      <c r="BC54" s="322"/>
      <c r="BD54" s="33" t="s">
        <v>400</v>
      </c>
      <c r="BE54" s="33">
        <v>4</v>
      </c>
      <c r="BF54" s="52" t="s">
        <v>247</v>
      </c>
      <c r="BG54" s="56">
        <v>4805000</v>
      </c>
      <c r="BH54" s="323"/>
      <c r="BI54" s="323"/>
      <c r="BJ54" s="323"/>
      <c r="BK54" s="323"/>
      <c r="BL54" s="323"/>
      <c r="BM54" s="319"/>
      <c r="BN54" s="28" t="s">
        <v>323</v>
      </c>
      <c r="BO54" s="104" t="s">
        <v>324</v>
      </c>
      <c r="BP54" s="32">
        <v>31907790</v>
      </c>
      <c r="BQ54" s="52"/>
      <c r="BR54" s="21" t="s">
        <v>126</v>
      </c>
      <c r="BS54" s="59" t="s">
        <v>127</v>
      </c>
      <c r="BT54" s="60">
        <v>46031</v>
      </c>
      <c r="BU54" s="85">
        <v>4500399393</v>
      </c>
      <c r="BV54" s="62">
        <v>46035</v>
      </c>
      <c r="BW54" s="60">
        <v>46032</v>
      </c>
      <c r="BX54" s="60">
        <v>46035</v>
      </c>
      <c r="BY54" s="123"/>
      <c r="BZ54" s="123"/>
      <c r="CA54" s="123"/>
      <c r="CB54" s="123"/>
      <c r="CC54" s="123"/>
      <c r="CD54" s="123"/>
      <c r="CE54" s="324" t="s">
        <v>835</v>
      </c>
      <c r="CF54" s="125" t="s">
        <v>836</v>
      </c>
      <c r="CG54" s="254"/>
      <c r="CH54" s="127">
        <v>3173889524</v>
      </c>
      <c r="CI54" s="201"/>
      <c r="CJ54" s="201"/>
      <c r="CK54" s="201"/>
      <c r="CL54" s="201"/>
      <c r="CM54" s="319"/>
    </row>
    <row r="55" spans="1:91" ht="49.5" customHeight="1" x14ac:dyDescent="0.25">
      <c r="A55" s="153" t="s">
        <v>91</v>
      </c>
      <c r="B55" s="154" t="s">
        <v>92</v>
      </c>
      <c r="C55" s="154" t="s">
        <v>93</v>
      </c>
      <c r="D55" s="296" t="s">
        <v>94</v>
      </c>
      <c r="E55" s="156" t="s">
        <v>95</v>
      </c>
      <c r="F55" s="157" t="s">
        <v>96</v>
      </c>
      <c r="G55" s="83" t="s">
        <v>97</v>
      </c>
      <c r="H55" s="88" t="s">
        <v>111</v>
      </c>
      <c r="I55" s="27" t="s">
        <v>281</v>
      </c>
      <c r="J55" s="154" t="s">
        <v>93</v>
      </c>
      <c r="K55" s="156"/>
      <c r="L55" s="26" t="s">
        <v>100</v>
      </c>
      <c r="M55" s="27" t="s">
        <v>99</v>
      </c>
      <c r="N55" s="200"/>
      <c r="O55" s="200"/>
      <c r="P55" s="49" t="s">
        <v>150</v>
      </c>
      <c r="Q55" s="319"/>
      <c r="R55" s="77"/>
      <c r="S55" s="325"/>
      <c r="T55" s="116"/>
      <c r="U55" s="167" t="s">
        <v>102</v>
      </c>
      <c r="V55" s="33">
        <v>3700028004</v>
      </c>
      <c r="W55" s="34">
        <v>46027</v>
      </c>
      <c r="X55" s="35">
        <v>1531992000</v>
      </c>
      <c r="Y55" s="31" t="s">
        <v>103</v>
      </c>
      <c r="Z55" s="168" t="s">
        <v>104</v>
      </c>
      <c r="AA55" s="37">
        <v>20115</v>
      </c>
      <c r="AB55" s="99" t="s">
        <v>234</v>
      </c>
      <c r="AC55" s="170" t="s">
        <v>106</v>
      </c>
      <c r="AD55" s="171" t="s">
        <v>107</v>
      </c>
      <c r="AE55" s="320" t="s">
        <v>152</v>
      </c>
      <c r="AF55" s="116" t="s">
        <v>102</v>
      </c>
      <c r="AG55" s="116"/>
      <c r="AH55" s="33" t="s">
        <v>837</v>
      </c>
      <c r="AI55" s="37" t="s">
        <v>838</v>
      </c>
      <c r="AJ55" s="288" t="s">
        <v>839</v>
      </c>
      <c r="AK55" s="316" t="s">
        <v>840</v>
      </c>
      <c r="AL55" s="116">
        <v>1</v>
      </c>
      <c r="AM55" s="318"/>
      <c r="AN55" s="45" t="s">
        <v>113</v>
      </c>
      <c r="AO55" s="83" t="s">
        <v>222</v>
      </c>
      <c r="AP55" s="83" t="s">
        <v>841</v>
      </c>
      <c r="AQ55" s="291" t="s">
        <v>116</v>
      </c>
      <c r="AR55" s="291" t="s">
        <v>842</v>
      </c>
      <c r="AS55" s="154" t="s">
        <v>349</v>
      </c>
      <c r="AT55" s="291" t="s">
        <v>349</v>
      </c>
      <c r="AU55" s="83" t="s">
        <v>843</v>
      </c>
      <c r="AV55" s="102" t="s">
        <v>844</v>
      </c>
      <c r="AW55" s="52" t="s">
        <v>398</v>
      </c>
      <c r="AX55" s="295" t="s">
        <v>845</v>
      </c>
      <c r="AY55" s="54">
        <f t="shared" si="0"/>
        <v>15788000</v>
      </c>
      <c r="AZ55" s="326"/>
      <c r="BA55" s="326"/>
      <c r="BB55" s="327"/>
      <c r="BC55" s="327"/>
      <c r="BD55" s="33" t="s">
        <v>400</v>
      </c>
      <c r="BE55" s="33">
        <v>4</v>
      </c>
      <c r="BF55" s="288" t="s">
        <v>846</v>
      </c>
      <c r="BG55" s="56">
        <v>3947000</v>
      </c>
      <c r="BH55" s="323"/>
      <c r="BI55" s="323"/>
      <c r="BJ55" s="323"/>
      <c r="BK55" s="323"/>
      <c r="BL55" s="323"/>
      <c r="BM55" s="319"/>
      <c r="BN55" s="154" t="s">
        <v>93</v>
      </c>
      <c r="BO55" s="156" t="s">
        <v>95</v>
      </c>
      <c r="BP55" s="31">
        <v>29180813</v>
      </c>
      <c r="BQ55" s="170"/>
      <c r="BR55" s="21" t="s">
        <v>126</v>
      </c>
      <c r="BS55" s="59" t="s">
        <v>127</v>
      </c>
      <c r="BT55" s="60">
        <v>46031</v>
      </c>
      <c r="BU55" s="85">
        <v>4500399988</v>
      </c>
      <c r="BV55" s="62">
        <v>46035</v>
      </c>
      <c r="BW55" s="60">
        <v>46036</v>
      </c>
      <c r="BX55" s="60">
        <v>46036</v>
      </c>
      <c r="BY55" s="123"/>
      <c r="BZ55" s="123"/>
      <c r="CA55" s="123"/>
      <c r="CB55" s="123"/>
      <c r="CC55" s="123"/>
      <c r="CD55" s="123"/>
      <c r="CE55" s="124" t="s">
        <v>847</v>
      </c>
      <c r="CF55" s="125" t="s">
        <v>848</v>
      </c>
      <c r="CG55" s="181"/>
      <c r="CH55" s="127">
        <v>3162205544</v>
      </c>
      <c r="CI55" s="182"/>
      <c r="CJ55" s="182"/>
      <c r="CK55" s="182"/>
      <c r="CL55" s="182"/>
      <c r="CM55" s="319"/>
    </row>
    <row r="56" spans="1:91" ht="33" customHeight="1" x14ac:dyDescent="0.25">
      <c r="A56" s="328" t="s">
        <v>91</v>
      </c>
      <c r="B56" s="255" t="s">
        <v>92</v>
      </c>
      <c r="C56" s="255" t="s">
        <v>93</v>
      </c>
      <c r="D56" s="296" t="s">
        <v>94</v>
      </c>
      <c r="E56" s="329" t="s">
        <v>95</v>
      </c>
      <c r="F56" s="330" t="s">
        <v>96</v>
      </c>
      <c r="G56" s="77" t="s">
        <v>97</v>
      </c>
      <c r="H56" s="88" t="s">
        <v>111</v>
      </c>
      <c r="I56" s="27" t="s">
        <v>281</v>
      </c>
      <c r="J56" s="331" t="s">
        <v>323</v>
      </c>
      <c r="K56" s="46" t="s">
        <v>324</v>
      </c>
      <c r="L56" s="26" t="s">
        <v>100</v>
      </c>
      <c r="M56" s="27" t="s">
        <v>99</v>
      </c>
      <c r="N56" s="332"/>
      <c r="O56" s="332"/>
      <c r="P56" s="332" t="s">
        <v>150</v>
      </c>
      <c r="Q56" s="333"/>
      <c r="R56" s="333"/>
      <c r="S56" s="333"/>
      <c r="T56" s="333"/>
      <c r="U56" s="334" t="s">
        <v>102</v>
      </c>
      <c r="V56" s="33">
        <v>3700028004</v>
      </c>
      <c r="W56" s="34">
        <v>46027</v>
      </c>
      <c r="X56" s="35">
        <v>1531992000</v>
      </c>
      <c r="Y56" s="31" t="s">
        <v>103</v>
      </c>
      <c r="Z56" s="77" t="s">
        <v>217</v>
      </c>
      <c r="AA56" s="37">
        <v>20115</v>
      </c>
      <c r="AB56" s="335" t="s">
        <v>234</v>
      </c>
      <c r="AC56" s="77" t="s">
        <v>251</v>
      </c>
      <c r="AD56" s="171" t="s">
        <v>252</v>
      </c>
      <c r="AE56" s="336" t="s">
        <v>282</v>
      </c>
      <c r="AF56" s="337"/>
      <c r="AG56" s="80" t="s">
        <v>102</v>
      </c>
      <c r="AH56" s="33" t="s">
        <v>849</v>
      </c>
      <c r="AI56" s="37" t="s">
        <v>850</v>
      </c>
      <c r="AJ56" s="255" t="s">
        <v>851</v>
      </c>
      <c r="AK56" s="338" t="s">
        <v>852</v>
      </c>
      <c r="AL56" s="339"/>
      <c r="AM56" s="80"/>
      <c r="AN56" s="205" t="s">
        <v>113</v>
      </c>
      <c r="AO56" s="331" t="s">
        <v>853</v>
      </c>
      <c r="AP56" s="331" t="s">
        <v>854</v>
      </c>
      <c r="AQ56" s="300" t="s">
        <v>260</v>
      </c>
      <c r="AR56" s="340" t="s">
        <v>260</v>
      </c>
      <c r="AS56" s="341" t="s">
        <v>855</v>
      </c>
      <c r="AT56" s="51" t="s">
        <v>304</v>
      </c>
      <c r="AU56" s="255" t="s">
        <v>856</v>
      </c>
      <c r="AV56" s="212" t="s">
        <v>857</v>
      </c>
      <c r="AW56" s="52" t="s">
        <v>122</v>
      </c>
      <c r="AX56" s="288" t="s">
        <v>307</v>
      </c>
      <c r="AY56" s="54">
        <f t="shared" si="0"/>
        <v>16752000</v>
      </c>
      <c r="AZ56" s="326"/>
      <c r="BA56" s="326"/>
      <c r="BB56" s="342"/>
      <c r="BC56" s="342"/>
      <c r="BD56" s="33" t="s">
        <v>124</v>
      </c>
      <c r="BE56" s="33">
        <v>6</v>
      </c>
      <c r="BF56" s="52" t="s">
        <v>308</v>
      </c>
      <c r="BG56" s="56">
        <v>2792000</v>
      </c>
      <c r="BH56" s="343"/>
      <c r="BI56" s="343"/>
      <c r="BJ56" s="343"/>
      <c r="BK56" s="343"/>
      <c r="BL56" s="343"/>
      <c r="BM56" s="343"/>
      <c r="BN56" s="331" t="s">
        <v>323</v>
      </c>
      <c r="BO56" s="331" t="s">
        <v>99</v>
      </c>
      <c r="BP56" s="32">
        <v>31907790</v>
      </c>
      <c r="BQ56" s="255"/>
      <c r="BR56" s="21" t="s">
        <v>126</v>
      </c>
      <c r="BS56" s="59" t="s">
        <v>127</v>
      </c>
      <c r="BT56" s="60">
        <v>46031</v>
      </c>
      <c r="BU56" s="85">
        <v>4500397503</v>
      </c>
      <c r="BV56" s="62">
        <v>46031</v>
      </c>
      <c r="BW56" s="60">
        <v>46032</v>
      </c>
      <c r="BX56" s="60">
        <v>46032</v>
      </c>
      <c r="BY56" s="123"/>
      <c r="BZ56" s="123"/>
      <c r="CA56" s="123"/>
      <c r="CB56" s="123"/>
      <c r="CC56" s="123"/>
      <c r="CD56" s="123"/>
      <c r="CE56" s="324" t="s">
        <v>858</v>
      </c>
      <c r="CF56" s="344" t="s">
        <v>859</v>
      </c>
      <c r="CG56" s="332" t="s">
        <v>860</v>
      </c>
      <c r="CH56" s="80">
        <v>3226207769</v>
      </c>
      <c r="CI56" s="345" t="s">
        <v>131</v>
      </c>
      <c r="CJ56" s="345">
        <v>13</v>
      </c>
      <c r="CK56" s="345">
        <v>10</v>
      </c>
      <c r="CL56" s="345">
        <v>1969</v>
      </c>
      <c r="CM56" s="80">
        <f t="shared" ref="CM56:CM57" si="9">2024-CL56</f>
        <v>55</v>
      </c>
    </row>
    <row r="57" spans="1:91" ht="32.25" customHeight="1" x14ac:dyDescent="0.25">
      <c r="A57" s="346" t="s">
        <v>91</v>
      </c>
      <c r="B57" s="288" t="s">
        <v>92</v>
      </c>
      <c r="C57" s="288" t="s">
        <v>93</v>
      </c>
      <c r="D57" s="296" t="s">
        <v>94</v>
      </c>
      <c r="E57" s="347" t="s">
        <v>95</v>
      </c>
      <c r="F57" s="348" t="s">
        <v>96</v>
      </c>
      <c r="G57" s="255" t="s">
        <v>97</v>
      </c>
      <c r="H57" s="88" t="s">
        <v>111</v>
      </c>
      <c r="I57" s="27" t="s">
        <v>281</v>
      </c>
      <c r="J57" s="331" t="s">
        <v>323</v>
      </c>
      <c r="K57" s="46" t="s">
        <v>324</v>
      </c>
      <c r="L57" s="26" t="s">
        <v>100</v>
      </c>
      <c r="M57" s="27" t="s">
        <v>99</v>
      </c>
      <c r="N57" s="331"/>
      <c r="O57" s="331"/>
      <c r="P57" s="331" t="s">
        <v>150</v>
      </c>
      <c r="Q57" s="331"/>
      <c r="R57" s="331"/>
      <c r="S57" s="331"/>
      <c r="T57" s="349"/>
      <c r="U57" s="334" t="s">
        <v>102</v>
      </c>
      <c r="V57" s="33">
        <v>3700028004</v>
      </c>
      <c r="W57" s="34">
        <v>46027</v>
      </c>
      <c r="X57" s="35">
        <v>1531992000</v>
      </c>
      <c r="Y57" s="31" t="s">
        <v>103</v>
      </c>
      <c r="Z57" s="77" t="s">
        <v>217</v>
      </c>
      <c r="AA57" s="37">
        <v>20115</v>
      </c>
      <c r="AB57" s="335" t="s">
        <v>234</v>
      </c>
      <c r="AC57" s="170" t="s">
        <v>251</v>
      </c>
      <c r="AD57" s="171" t="s">
        <v>252</v>
      </c>
      <c r="AE57" s="302" t="s">
        <v>282</v>
      </c>
      <c r="AF57" s="80"/>
      <c r="AG57" s="80" t="s">
        <v>102</v>
      </c>
      <c r="AH57" s="33" t="s">
        <v>861</v>
      </c>
      <c r="AI57" s="37" t="s">
        <v>862</v>
      </c>
      <c r="AJ57" s="255" t="s">
        <v>863</v>
      </c>
      <c r="AK57" s="338" t="s">
        <v>864</v>
      </c>
      <c r="AL57" s="338"/>
      <c r="AM57" s="80"/>
      <c r="AN57" s="45" t="s">
        <v>113</v>
      </c>
      <c r="AO57" s="331" t="s">
        <v>853</v>
      </c>
      <c r="AP57" s="331" t="s">
        <v>865</v>
      </c>
      <c r="AQ57" s="300" t="s">
        <v>260</v>
      </c>
      <c r="AR57" s="300" t="s">
        <v>260</v>
      </c>
      <c r="AS57" s="350" t="s">
        <v>866</v>
      </c>
      <c r="AT57" s="331" t="s">
        <v>304</v>
      </c>
      <c r="AU57" s="255" t="s">
        <v>867</v>
      </c>
      <c r="AV57" s="212" t="s">
        <v>868</v>
      </c>
      <c r="AW57" s="52" t="s">
        <v>398</v>
      </c>
      <c r="AX57" s="288" t="s">
        <v>869</v>
      </c>
      <c r="AY57" s="54">
        <f t="shared" si="0"/>
        <v>11168000</v>
      </c>
      <c r="AZ57" s="326"/>
      <c r="BA57" s="326"/>
      <c r="BB57" s="326"/>
      <c r="BC57" s="326"/>
      <c r="BD57" s="33" t="s">
        <v>400</v>
      </c>
      <c r="BE57" s="33">
        <v>4</v>
      </c>
      <c r="BF57" s="52" t="s">
        <v>308</v>
      </c>
      <c r="BG57" s="56">
        <v>2792000</v>
      </c>
      <c r="BH57" s="351"/>
      <c r="BI57" s="351"/>
      <c r="BJ57" s="351"/>
      <c r="BK57" s="351"/>
      <c r="BL57" s="351"/>
      <c r="BM57" s="352"/>
      <c r="BN57" s="29" t="s">
        <v>323</v>
      </c>
      <c r="BO57" s="46" t="s">
        <v>324</v>
      </c>
      <c r="BP57" s="32">
        <v>31907790</v>
      </c>
      <c r="BQ57" s="288"/>
      <c r="BR57" s="21" t="s">
        <v>126</v>
      </c>
      <c r="BS57" s="59" t="s">
        <v>127</v>
      </c>
      <c r="BT57" s="60">
        <v>46032</v>
      </c>
      <c r="BU57" s="85">
        <v>4500399998</v>
      </c>
      <c r="BV57" s="62">
        <v>46035</v>
      </c>
      <c r="BW57" s="60">
        <v>46036</v>
      </c>
      <c r="BX57" s="60">
        <v>46036</v>
      </c>
      <c r="BY57" s="123"/>
      <c r="BZ57" s="123"/>
      <c r="CA57" s="123"/>
      <c r="CB57" s="123"/>
      <c r="CC57" s="123"/>
      <c r="CD57" s="123"/>
      <c r="CE57" s="324" t="s">
        <v>870</v>
      </c>
      <c r="CF57" s="80" t="s">
        <v>871</v>
      </c>
      <c r="CG57" s="353" t="s">
        <v>872</v>
      </c>
      <c r="CH57" s="80">
        <v>3136450805</v>
      </c>
      <c r="CI57" s="345" t="s">
        <v>131</v>
      </c>
      <c r="CJ57" s="345">
        <v>15</v>
      </c>
      <c r="CK57" s="345">
        <v>7</v>
      </c>
      <c r="CL57" s="345">
        <v>1978</v>
      </c>
      <c r="CM57" s="80">
        <f t="shared" si="9"/>
        <v>46</v>
      </c>
    </row>
    <row r="58" spans="1:91" ht="41.25" customHeight="1" x14ac:dyDescent="0.25">
      <c r="A58" s="346" t="s">
        <v>91</v>
      </c>
      <c r="B58" s="288" t="s">
        <v>92</v>
      </c>
      <c r="C58" s="288" t="s">
        <v>93</v>
      </c>
      <c r="D58" s="296" t="s">
        <v>94</v>
      </c>
      <c r="E58" s="347" t="s">
        <v>95</v>
      </c>
      <c r="F58" s="348" t="s">
        <v>96</v>
      </c>
      <c r="G58" s="255" t="s">
        <v>873</v>
      </c>
      <c r="H58" s="88" t="s">
        <v>111</v>
      </c>
      <c r="I58" s="27" t="s">
        <v>281</v>
      </c>
      <c r="J58" s="331" t="s">
        <v>323</v>
      </c>
      <c r="K58" s="46" t="s">
        <v>324</v>
      </c>
      <c r="L58" s="26" t="s">
        <v>100</v>
      </c>
      <c r="M58" s="27" t="s">
        <v>99</v>
      </c>
      <c r="N58" s="331"/>
      <c r="O58" s="331"/>
      <c r="P58" s="331" t="s">
        <v>186</v>
      </c>
      <c r="Q58" s="331" t="s">
        <v>187</v>
      </c>
      <c r="R58" s="74" t="s">
        <v>618</v>
      </c>
      <c r="S58" s="74" t="s">
        <v>619</v>
      </c>
      <c r="T58" s="300" t="s">
        <v>102</v>
      </c>
      <c r="U58" s="80"/>
      <c r="V58" s="37">
        <v>3500254255</v>
      </c>
      <c r="W58" s="34">
        <v>46027</v>
      </c>
      <c r="X58" s="35">
        <v>962010000</v>
      </c>
      <c r="Y58" s="31" t="s">
        <v>103</v>
      </c>
      <c r="Z58" s="170" t="s">
        <v>620</v>
      </c>
      <c r="AA58" s="37">
        <v>20124</v>
      </c>
      <c r="AB58" s="354" t="s">
        <v>105</v>
      </c>
      <c r="AC58" s="355" t="s">
        <v>106</v>
      </c>
      <c r="AD58" s="356" t="s">
        <v>107</v>
      </c>
      <c r="AE58" s="357" t="s">
        <v>152</v>
      </c>
      <c r="AF58" s="349" t="s">
        <v>102</v>
      </c>
      <c r="AG58" s="349"/>
      <c r="AH58" s="33" t="s">
        <v>874</v>
      </c>
      <c r="AI58" s="37" t="s">
        <v>875</v>
      </c>
      <c r="AJ58" s="255" t="s">
        <v>876</v>
      </c>
      <c r="AK58" s="338" t="s">
        <v>877</v>
      </c>
      <c r="AL58" s="349"/>
      <c r="AM58" s="349"/>
      <c r="AN58" s="45" t="s">
        <v>113</v>
      </c>
      <c r="AO58" s="51" t="s">
        <v>568</v>
      </c>
      <c r="AP58" s="51" t="s">
        <v>878</v>
      </c>
      <c r="AQ58" s="291" t="s">
        <v>116</v>
      </c>
      <c r="AR58" s="321" t="s">
        <v>879</v>
      </c>
      <c r="AS58" s="358" t="s">
        <v>880</v>
      </c>
      <c r="AT58" s="104" t="s">
        <v>832</v>
      </c>
      <c r="AU58" s="255" t="s">
        <v>881</v>
      </c>
      <c r="AV58" s="359" t="s">
        <v>882</v>
      </c>
      <c r="AW58" s="52" t="s">
        <v>398</v>
      </c>
      <c r="AX58" s="21" t="s">
        <v>834</v>
      </c>
      <c r="AY58" s="54">
        <f t="shared" si="0"/>
        <v>19220000</v>
      </c>
      <c r="AZ58" s="349"/>
      <c r="BA58" s="349"/>
      <c r="BB58" s="349"/>
      <c r="BC58" s="349"/>
      <c r="BD58" s="33" t="s">
        <v>400</v>
      </c>
      <c r="BE58" s="33">
        <v>4</v>
      </c>
      <c r="BF58" s="52" t="s">
        <v>247</v>
      </c>
      <c r="BG58" s="56">
        <v>4805000</v>
      </c>
      <c r="BH58" s="360"/>
      <c r="BI58" s="360"/>
      <c r="BJ58" s="360"/>
      <c r="BK58" s="360"/>
      <c r="BL58" s="360"/>
      <c r="BM58" s="360"/>
      <c r="BN58" s="29" t="s">
        <v>323</v>
      </c>
      <c r="BO58" s="46" t="s">
        <v>324</v>
      </c>
      <c r="BP58" s="32">
        <v>31907790</v>
      </c>
      <c r="BQ58" s="288"/>
      <c r="BR58" s="21" t="s">
        <v>126</v>
      </c>
      <c r="BS58" s="59" t="s">
        <v>127</v>
      </c>
      <c r="BT58" s="60">
        <v>46032</v>
      </c>
      <c r="BU58" s="85">
        <v>4500400004</v>
      </c>
      <c r="BV58" s="62">
        <v>46035</v>
      </c>
      <c r="BW58" s="60">
        <v>46036</v>
      </c>
      <c r="BX58" s="60">
        <v>46036</v>
      </c>
      <c r="BY58" s="123"/>
      <c r="BZ58" s="123"/>
      <c r="CA58" s="123"/>
      <c r="CB58" s="123"/>
      <c r="CC58" s="123"/>
      <c r="CD58" s="123"/>
      <c r="CE58" s="312" t="s">
        <v>883</v>
      </c>
      <c r="CF58" s="229" t="s">
        <v>884</v>
      </c>
      <c r="CG58" s="351"/>
      <c r="CH58" s="127">
        <v>3002900128</v>
      </c>
      <c r="CI58" s="351"/>
      <c r="CJ58" s="351"/>
      <c r="CK58" s="351"/>
      <c r="CL58" s="351"/>
      <c r="CM58" s="351"/>
    </row>
    <row r="59" spans="1:91" ht="41.25" customHeight="1" x14ac:dyDescent="0.25">
      <c r="A59" s="346" t="s">
        <v>91</v>
      </c>
      <c r="B59" s="288" t="s">
        <v>92</v>
      </c>
      <c r="C59" s="288" t="s">
        <v>93</v>
      </c>
      <c r="D59" s="296" t="s">
        <v>94</v>
      </c>
      <c r="E59" s="347" t="s">
        <v>95</v>
      </c>
      <c r="F59" s="348" t="s">
        <v>96</v>
      </c>
      <c r="G59" s="255" t="s">
        <v>873</v>
      </c>
      <c r="H59" s="88" t="s">
        <v>111</v>
      </c>
      <c r="I59" s="27" t="s">
        <v>281</v>
      </c>
      <c r="J59" s="331" t="s">
        <v>323</v>
      </c>
      <c r="K59" s="46" t="s">
        <v>324</v>
      </c>
      <c r="L59" s="26" t="s">
        <v>100</v>
      </c>
      <c r="M59" s="27" t="s">
        <v>99</v>
      </c>
      <c r="N59" s="331"/>
      <c r="O59" s="331"/>
      <c r="P59" s="331" t="s">
        <v>150</v>
      </c>
      <c r="Q59" s="331"/>
      <c r="R59" s="331"/>
      <c r="S59" s="331"/>
      <c r="T59" s="300"/>
      <c r="U59" s="300" t="s">
        <v>102</v>
      </c>
      <c r="V59" s="33">
        <v>3700028004</v>
      </c>
      <c r="W59" s="34">
        <v>46027</v>
      </c>
      <c r="X59" s="35">
        <v>1531992000</v>
      </c>
      <c r="Y59" s="31" t="s">
        <v>103</v>
      </c>
      <c r="Z59" s="77" t="s">
        <v>217</v>
      </c>
      <c r="AA59" s="37">
        <v>20115</v>
      </c>
      <c r="AB59" s="335" t="s">
        <v>234</v>
      </c>
      <c r="AC59" s="77" t="s">
        <v>251</v>
      </c>
      <c r="AD59" s="171" t="s">
        <v>252</v>
      </c>
      <c r="AE59" s="302" t="s">
        <v>282</v>
      </c>
      <c r="AF59" s="349"/>
      <c r="AG59" s="349" t="s">
        <v>102</v>
      </c>
      <c r="AH59" s="33" t="s">
        <v>885</v>
      </c>
      <c r="AI59" s="37" t="s">
        <v>886</v>
      </c>
      <c r="AJ59" s="255" t="s">
        <v>887</v>
      </c>
      <c r="AK59" s="338" t="s">
        <v>888</v>
      </c>
      <c r="AL59" s="349"/>
      <c r="AM59" s="349"/>
      <c r="AN59" s="45" t="s">
        <v>113</v>
      </c>
      <c r="AO59" s="331" t="s">
        <v>853</v>
      </c>
      <c r="AP59" s="361" t="s">
        <v>889</v>
      </c>
      <c r="AQ59" s="300" t="s">
        <v>260</v>
      </c>
      <c r="AR59" s="300" t="s">
        <v>260</v>
      </c>
      <c r="AS59" s="181" t="s">
        <v>890</v>
      </c>
      <c r="AT59" s="104" t="s">
        <v>290</v>
      </c>
      <c r="AU59" s="255" t="s">
        <v>891</v>
      </c>
      <c r="AV59" s="362" t="s">
        <v>892</v>
      </c>
      <c r="AW59" s="52" t="s">
        <v>398</v>
      </c>
      <c r="AX59" s="52" t="s">
        <v>893</v>
      </c>
      <c r="AY59" s="54">
        <f t="shared" si="0"/>
        <v>9084000</v>
      </c>
      <c r="AZ59" s="349"/>
      <c r="BA59" s="349"/>
      <c r="BB59" s="349"/>
      <c r="BC59" s="349"/>
      <c r="BD59" s="33" t="s">
        <v>400</v>
      </c>
      <c r="BE59" s="33">
        <v>4</v>
      </c>
      <c r="BF59" s="52" t="s">
        <v>294</v>
      </c>
      <c r="BG59" s="56">
        <v>2271000</v>
      </c>
      <c r="BH59" s="360"/>
      <c r="BI59" s="360"/>
      <c r="BJ59" s="360"/>
      <c r="BK59" s="360"/>
      <c r="BL59" s="360"/>
      <c r="BM59" s="360"/>
      <c r="BN59" s="29" t="s">
        <v>323</v>
      </c>
      <c r="BO59" s="46" t="s">
        <v>324</v>
      </c>
      <c r="BP59" s="32">
        <v>31907790</v>
      </c>
      <c r="BQ59" s="288"/>
      <c r="BR59" s="21" t="s">
        <v>126</v>
      </c>
      <c r="BS59" s="59" t="s">
        <v>127</v>
      </c>
      <c r="BT59" s="60">
        <v>46035</v>
      </c>
      <c r="BU59" s="85">
        <v>4500400021</v>
      </c>
      <c r="BV59" s="62">
        <v>46035</v>
      </c>
      <c r="BW59" s="60">
        <v>46036</v>
      </c>
      <c r="BX59" s="60">
        <v>46036</v>
      </c>
      <c r="BY59" s="123"/>
      <c r="BZ59" s="123"/>
      <c r="CA59" s="123"/>
      <c r="CB59" s="123"/>
      <c r="CC59" s="123"/>
      <c r="CD59" s="123"/>
      <c r="CE59" s="312" t="s">
        <v>894</v>
      </c>
      <c r="CF59" s="125" t="s">
        <v>895</v>
      </c>
      <c r="CG59" s="351"/>
      <c r="CH59" s="127">
        <v>3022821303</v>
      </c>
      <c r="CI59" s="351"/>
      <c r="CJ59" s="351"/>
      <c r="CK59" s="351"/>
      <c r="CL59" s="351"/>
      <c r="CM59" s="351"/>
    </row>
    <row r="60" spans="1:91" ht="41.25" customHeight="1" x14ac:dyDescent="0.25">
      <c r="A60" s="346" t="s">
        <v>91</v>
      </c>
      <c r="B60" s="288" t="s">
        <v>92</v>
      </c>
      <c r="C60" s="288" t="s">
        <v>93</v>
      </c>
      <c r="D60" s="296" t="s">
        <v>94</v>
      </c>
      <c r="E60" s="347" t="s">
        <v>95</v>
      </c>
      <c r="F60" s="348" t="s">
        <v>96</v>
      </c>
      <c r="G60" s="255" t="s">
        <v>873</v>
      </c>
      <c r="H60" s="88" t="s">
        <v>111</v>
      </c>
      <c r="I60" s="27" t="s">
        <v>281</v>
      </c>
      <c r="J60" s="331" t="s">
        <v>323</v>
      </c>
      <c r="K60" s="46" t="s">
        <v>324</v>
      </c>
      <c r="L60" s="26" t="s">
        <v>100</v>
      </c>
      <c r="M60" s="27" t="s">
        <v>99</v>
      </c>
      <c r="N60" s="331"/>
      <c r="O60" s="331"/>
      <c r="P60" s="331" t="s">
        <v>186</v>
      </c>
      <c r="Q60" s="331" t="s">
        <v>187</v>
      </c>
      <c r="R60" s="74" t="s">
        <v>618</v>
      </c>
      <c r="S60" s="74" t="s">
        <v>619</v>
      </c>
      <c r="T60" s="300" t="s">
        <v>102</v>
      </c>
      <c r="U60" s="80"/>
      <c r="V60" s="37">
        <v>3500254255</v>
      </c>
      <c r="W60" s="34">
        <v>46027</v>
      </c>
      <c r="X60" s="35">
        <v>962010000</v>
      </c>
      <c r="Y60" s="31" t="s">
        <v>103</v>
      </c>
      <c r="Z60" s="170" t="s">
        <v>620</v>
      </c>
      <c r="AA60" s="37">
        <v>20124</v>
      </c>
      <c r="AB60" s="354" t="s">
        <v>105</v>
      </c>
      <c r="AC60" s="181" t="s">
        <v>106</v>
      </c>
      <c r="AD60" s="356" t="s">
        <v>107</v>
      </c>
      <c r="AE60" s="357" t="s">
        <v>152</v>
      </c>
      <c r="AF60" s="349" t="s">
        <v>102</v>
      </c>
      <c r="AG60" s="349"/>
      <c r="AH60" s="33" t="s">
        <v>896</v>
      </c>
      <c r="AI60" s="37" t="s">
        <v>897</v>
      </c>
      <c r="AJ60" s="255" t="s">
        <v>898</v>
      </c>
      <c r="AK60" s="338" t="s">
        <v>899</v>
      </c>
      <c r="AL60" s="349"/>
      <c r="AM60" s="349"/>
      <c r="AN60" s="45" t="s">
        <v>113</v>
      </c>
      <c r="AO60" s="25" t="s">
        <v>136</v>
      </c>
      <c r="AP60" s="290" t="s">
        <v>900</v>
      </c>
      <c r="AQ60" s="363" t="s">
        <v>116</v>
      </c>
      <c r="AR60" s="363" t="s">
        <v>901</v>
      </c>
      <c r="AS60" s="358" t="s">
        <v>902</v>
      </c>
      <c r="AT60" s="49" t="s">
        <v>179</v>
      </c>
      <c r="AU60" s="255" t="s">
        <v>903</v>
      </c>
      <c r="AV60" s="187" t="s">
        <v>904</v>
      </c>
      <c r="AW60" s="52" t="s">
        <v>122</v>
      </c>
      <c r="AX60" s="21" t="s">
        <v>164</v>
      </c>
      <c r="AY60" s="54">
        <f t="shared" si="0"/>
        <v>37482000</v>
      </c>
      <c r="AZ60" s="349"/>
      <c r="BA60" s="349"/>
      <c r="BB60" s="349"/>
      <c r="BC60" s="349"/>
      <c r="BD60" s="33" t="s">
        <v>124</v>
      </c>
      <c r="BE60" s="33">
        <v>6</v>
      </c>
      <c r="BF60" s="52" t="s">
        <v>165</v>
      </c>
      <c r="BG60" s="56">
        <v>6247000</v>
      </c>
      <c r="BH60" s="360"/>
      <c r="BI60" s="360"/>
      <c r="BJ60" s="360"/>
      <c r="BK60" s="360"/>
      <c r="BL60" s="360"/>
      <c r="BM60" s="360"/>
      <c r="BN60" s="29" t="s">
        <v>323</v>
      </c>
      <c r="BO60" s="46" t="s">
        <v>324</v>
      </c>
      <c r="BP60" s="32">
        <v>31907790</v>
      </c>
      <c r="BQ60" s="288"/>
      <c r="BR60" s="21" t="s">
        <v>126</v>
      </c>
      <c r="BS60" s="59" t="s">
        <v>127</v>
      </c>
      <c r="BT60" s="134">
        <v>46031</v>
      </c>
      <c r="BU60" s="85">
        <v>4500399399</v>
      </c>
      <c r="BV60" s="135">
        <v>46035</v>
      </c>
      <c r="BW60" s="134">
        <v>46035</v>
      </c>
      <c r="BX60" s="134">
        <v>46035</v>
      </c>
      <c r="BY60" s="136"/>
      <c r="BZ60" s="136"/>
      <c r="CA60" s="136"/>
      <c r="CB60" s="136"/>
      <c r="CC60" s="136"/>
      <c r="CD60" s="136"/>
      <c r="CE60" s="364" t="s">
        <v>905</v>
      </c>
      <c r="CF60" s="125" t="s">
        <v>906</v>
      </c>
      <c r="CG60" s="351"/>
      <c r="CH60" s="127">
        <v>3013329807</v>
      </c>
      <c r="CI60" s="351"/>
      <c r="CJ60" s="351"/>
      <c r="CK60" s="351"/>
      <c r="CL60" s="351"/>
      <c r="CM60" s="351"/>
    </row>
    <row r="61" spans="1:91" ht="33" customHeight="1" x14ac:dyDescent="0.25">
      <c r="A61" s="20" t="s">
        <v>91</v>
      </c>
      <c r="B61" s="21" t="s">
        <v>92</v>
      </c>
      <c r="C61" s="21" t="s">
        <v>93</v>
      </c>
      <c r="D61" s="22" t="s">
        <v>94</v>
      </c>
      <c r="E61" s="23" t="s">
        <v>95</v>
      </c>
      <c r="F61" s="24" t="s">
        <v>96</v>
      </c>
      <c r="G61" s="25" t="s">
        <v>97</v>
      </c>
      <c r="H61" s="88" t="s">
        <v>111</v>
      </c>
      <c r="I61" s="27" t="s">
        <v>281</v>
      </c>
      <c r="J61" s="21" t="s">
        <v>93</v>
      </c>
      <c r="K61" s="23" t="s">
        <v>95</v>
      </c>
      <c r="L61" s="26" t="s">
        <v>100</v>
      </c>
      <c r="M61" s="27" t="s">
        <v>99</v>
      </c>
      <c r="N61" s="28"/>
      <c r="O61" s="28"/>
      <c r="P61" s="28" t="s">
        <v>150</v>
      </c>
      <c r="Q61" s="28"/>
      <c r="R61" s="141"/>
      <c r="S61" s="69"/>
      <c r="T61" s="31"/>
      <c r="U61" s="365" t="s">
        <v>102</v>
      </c>
      <c r="V61" s="33">
        <v>3700028004</v>
      </c>
      <c r="W61" s="34">
        <v>46027</v>
      </c>
      <c r="X61" s="35">
        <v>1531992000</v>
      </c>
      <c r="Y61" s="31" t="s">
        <v>103</v>
      </c>
      <c r="Z61" s="36" t="s">
        <v>217</v>
      </c>
      <c r="AA61" s="37">
        <v>20115</v>
      </c>
      <c r="AB61" s="38" t="s">
        <v>234</v>
      </c>
      <c r="AC61" s="39" t="s">
        <v>251</v>
      </c>
      <c r="AD61" s="40" t="s">
        <v>252</v>
      </c>
      <c r="AE61" s="41" t="s">
        <v>282</v>
      </c>
      <c r="AF61" s="33"/>
      <c r="AG61" s="33" t="s">
        <v>102</v>
      </c>
      <c r="AH61" s="33" t="s">
        <v>907</v>
      </c>
      <c r="AI61" s="37" t="s">
        <v>908</v>
      </c>
      <c r="AJ61" s="212" t="s">
        <v>909</v>
      </c>
      <c r="AK61" s="43" t="s">
        <v>910</v>
      </c>
      <c r="AL61" s="92">
        <v>1</v>
      </c>
      <c r="AM61" s="33"/>
      <c r="AN61" s="45" t="s">
        <v>113</v>
      </c>
      <c r="AO61" s="46" t="s">
        <v>509</v>
      </c>
      <c r="AP61" s="46" t="s">
        <v>911</v>
      </c>
      <c r="AQ61" s="47" t="s">
        <v>260</v>
      </c>
      <c r="AR61" s="47" t="s">
        <v>260</v>
      </c>
      <c r="AS61" s="94" t="s">
        <v>349</v>
      </c>
      <c r="AT61" s="49" t="s">
        <v>912</v>
      </c>
      <c r="AU61" s="46" t="s">
        <v>913</v>
      </c>
      <c r="AV61" s="25" t="s">
        <v>914</v>
      </c>
      <c r="AW61" s="52" t="s">
        <v>122</v>
      </c>
      <c r="AX61" s="21" t="s">
        <v>915</v>
      </c>
      <c r="AY61" s="54">
        <f t="shared" si="0"/>
        <v>12654000</v>
      </c>
      <c r="AZ61" s="84"/>
      <c r="BA61" s="84"/>
      <c r="BB61" s="84"/>
      <c r="BC61" s="84"/>
      <c r="BD61" s="33" t="s">
        <v>124</v>
      </c>
      <c r="BE61" s="33">
        <v>6</v>
      </c>
      <c r="BF61" s="52" t="s">
        <v>916</v>
      </c>
      <c r="BG61" s="56">
        <v>2109000</v>
      </c>
      <c r="BH61" s="33"/>
      <c r="BI61" s="33"/>
      <c r="BJ61" s="33"/>
      <c r="BK61" s="33"/>
      <c r="BL61" s="33"/>
      <c r="BM61" s="22"/>
      <c r="BN61" s="21" t="s">
        <v>93</v>
      </c>
      <c r="BO61" s="21" t="s">
        <v>95</v>
      </c>
      <c r="BP61" s="31">
        <v>29180813</v>
      </c>
      <c r="BQ61" s="52"/>
      <c r="BR61" s="21" t="s">
        <v>126</v>
      </c>
      <c r="BS61" s="59" t="s">
        <v>127</v>
      </c>
      <c r="BT61" s="134">
        <v>46030</v>
      </c>
      <c r="BU61" s="85">
        <v>4500397512</v>
      </c>
      <c r="BV61" s="135">
        <v>46031</v>
      </c>
      <c r="BW61" s="134">
        <v>46031</v>
      </c>
      <c r="BX61" s="134">
        <v>46031</v>
      </c>
      <c r="BY61" s="136"/>
      <c r="BZ61" s="136"/>
      <c r="CA61" s="136"/>
      <c r="CB61" s="136"/>
      <c r="CC61" s="136"/>
      <c r="CD61" s="136"/>
      <c r="CE61" s="137" t="s">
        <v>917</v>
      </c>
      <c r="CF61" s="33" t="s">
        <v>918</v>
      </c>
      <c r="CG61" s="366" t="s">
        <v>919</v>
      </c>
      <c r="CH61" s="33">
        <v>3117669258</v>
      </c>
      <c r="CI61" s="71" t="s">
        <v>131</v>
      </c>
      <c r="CJ61" s="71">
        <v>24</v>
      </c>
      <c r="CK61" s="71">
        <v>8</v>
      </c>
      <c r="CL61" s="71">
        <v>1973</v>
      </c>
      <c r="CM61" s="71">
        <f t="shared" ref="CM61:CM62" si="10">2024-CL61</f>
        <v>51</v>
      </c>
    </row>
    <row r="62" spans="1:91" ht="46.5" customHeight="1" x14ac:dyDescent="0.25">
      <c r="A62" s="20" t="s">
        <v>91</v>
      </c>
      <c r="B62" s="21" t="s">
        <v>92</v>
      </c>
      <c r="C62" s="21" t="s">
        <v>93</v>
      </c>
      <c r="D62" s="22" t="s">
        <v>94</v>
      </c>
      <c r="E62" s="23" t="s">
        <v>95</v>
      </c>
      <c r="F62" s="24" t="s">
        <v>96</v>
      </c>
      <c r="G62" s="25" t="s">
        <v>97</v>
      </c>
      <c r="H62" s="88" t="s">
        <v>111</v>
      </c>
      <c r="I62" s="27" t="s">
        <v>281</v>
      </c>
      <c r="J62" s="28" t="s">
        <v>323</v>
      </c>
      <c r="K62" s="28" t="s">
        <v>324</v>
      </c>
      <c r="L62" s="26" t="s">
        <v>100</v>
      </c>
      <c r="M62" s="27" t="s">
        <v>99</v>
      </c>
      <c r="N62" s="28"/>
      <c r="O62" s="28"/>
      <c r="P62" s="28" t="s">
        <v>150</v>
      </c>
      <c r="Q62" s="28"/>
      <c r="R62" s="30"/>
      <c r="S62" s="245"/>
      <c r="T62" s="31"/>
      <c r="U62" s="32" t="s">
        <v>102</v>
      </c>
      <c r="V62" s="33">
        <v>3700028004</v>
      </c>
      <c r="W62" s="34">
        <v>46027</v>
      </c>
      <c r="X62" s="35">
        <v>1531992000</v>
      </c>
      <c r="Y62" s="31" t="s">
        <v>103</v>
      </c>
      <c r="Z62" s="36" t="s">
        <v>217</v>
      </c>
      <c r="AA62" s="37">
        <v>20115</v>
      </c>
      <c r="AB62" s="38" t="s">
        <v>234</v>
      </c>
      <c r="AC62" s="39" t="s">
        <v>251</v>
      </c>
      <c r="AD62" s="40" t="s">
        <v>252</v>
      </c>
      <c r="AE62" s="152" t="s">
        <v>282</v>
      </c>
      <c r="AF62" s="33"/>
      <c r="AG62" s="33" t="s">
        <v>102</v>
      </c>
      <c r="AH62" s="33" t="s">
        <v>920</v>
      </c>
      <c r="AI62" s="37" t="s">
        <v>921</v>
      </c>
      <c r="AJ62" s="212" t="s">
        <v>922</v>
      </c>
      <c r="AK62" s="43" t="s">
        <v>923</v>
      </c>
      <c r="AL62" s="44"/>
      <c r="AM62" s="33"/>
      <c r="AN62" s="45" t="s">
        <v>113</v>
      </c>
      <c r="AO62" s="46" t="s">
        <v>287</v>
      </c>
      <c r="AP62" s="46" t="s">
        <v>924</v>
      </c>
      <c r="AQ62" s="143" t="s">
        <v>260</v>
      </c>
      <c r="AR62" s="143" t="s">
        <v>260</v>
      </c>
      <c r="AS62" s="94" t="s">
        <v>349</v>
      </c>
      <c r="AT62" s="49" t="s">
        <v>912</v>
      </c>
      <c r="AU62" s="46" t="s">
        <v>925</v>
      </c>
      <c r="AV62" s="25" t="s">
        <v>614</v>
      </c>
      <c r="AW62" s="52" t="s">
        <v>398</v>
      </c>
      <c r="AX62" s="21" t="s">
        <v>926</v>
      </c>
      <c r="AY62" s="54">
        <f t="shared" si="0"/>
        <v>8436000</v>
      </c>
      <c r="AZ62" s="116"/>
      <c r="BA62" s="116"/>
      <c r="BB62" s="116"/>
      <c r="BC62" s="116"/>
      <c r="BD62" s="33" t="s">
        <v>400</v>
      </c>
      <c r="BE62" s="33">
        <v>4</v>
      </c>
      <c r="BF62" s="52" t="s">
        <v>916</v>
      </c>
      <c r="BG62" s="56">
        <v>2109000</v>
      </c>
      <c r="BH62" s="57"/>
      <c r="BI62" s="57"/>
      <c r="BJ62" s="57"/>
      <c r="BK62" s="57"/>
      <c r="BL62" s="57"/>
      <c r="BM62" s="228"/>
      <c r="BN62" s="28" t="s">
        <v>323</v>
      </c>
      <c r="BO62" s="28" t="s">
        <v>324</v>
      </c>
      <c r="BP62" s="32">
        <v>31907790</v>
      </c>
      <c r="BQ62" s="52"/>
      <c r="BR62" s="21" t="s">
        <v>126</v>
      </c>
      <c r="BS62" s="59" t="s">
        <v>127</v>
      </c>
      <c r="BT62" s="134">
        <v>46031</v>
      </c>
      <c r="BU62" s="85">
        <v>4500399437</v>
      </c>
      <c r="BV62" s="135">
        <v>46035</v>
      </c>
      <c r="BW62" s="134">
        <v>46035</v>
      </c>
      <c r="BX62" s="134">
        <v>46035</v>
      </c>
      <c r="BY62" s="136"/>
      <c r="BZ62" s="136"/>
      <c r="CA62" s="136"/>
      <c r="CB62" s="136"/>
      <c r="CC62" s="136"/>
      <c r="CD62" s="136"/>
      <c r="CE62" s="364" t="s">
        <v>927</v>
      </c>
      <c r="CF62" s="33" t="s">
        <v>928</v>
      </c>
      <c r="CG62" s="188" t="s">
        <v>929</v>
      </c>
      <c r="CH62" s="33">
        <v>3136871423</v>
      </c>
      <c r="CI62" s="70" t="s">
        <v>131</v>
      </c>
      <c r="CJ62" s="71">
        <v>1</v>
      </c>
      <c r="CK62" s="71">
        <v>7</v>
      </c>
      <c r="CL62" s="71">
        <v>2001</v>
      </c>
      <c r="CM62" s="71">
        <f t="shared" si="10"/>
        <v>23</v>
      </c>
    </row>
    <row r="63" spans="1:91" ht="41.25" customHeight="1" x14ac:dyDescent="0.25">
      <c r="A63" s="367" t="s">
        <v>91</v>
      </c>
      <c r="B63" s="170" t="s">
        <v>92</v>
      </c>
      <c r="C63" s="170" t="s">
        <v>93</v>
      </c>
      <c r="D63" s="170" t="s">
        <v>94</v>
      </c>
      <c r="E63" s="320" t="s">
        <v>95</v>
      </c>
      <c r="F63" s="330" t="s">
        <v>96</v>
      </c>
      <c r="G63" s="77" t="s">
        <v>873</v>
      </c>
      <c r="H63" s="88" t="s">
        <v>111</v>
      </c>
      <c r="I63" s="27" t="s">
        <v>281</v>
      </c>
      <c r="J63" s="120" t="s">
        <v>201</v>
      </c>
      <c r="K63" s="99" t="s">
        <v>202</v>
      </c>
      <c r="L63" s="26" t="s">
        <v>100</v>
      </c>
      <c r="M63" s="27" t="s">
        <v>99</v>
      </c>
      <c r="N63" s="103"/>
      <c r="O63" s="103"/>
      <c r="P63" s="104" t="s">
        <v>186</v>
      </c>
      <c r="Q63" s="104" t="s">
        <v>187</v>
      </c>
      <c r="R63" s="105" t="s">
        <v>188</v>
      </c>
      <c r="S63" s="106" t="s">
        <v>930</v>
      </c>
      <c r="T63" s="107" t="s">
        <v>102</v>
      </c>
      <c r="U63" s="108"/>
      <c r="V63" s="37">
        <v>3500254255</v>
      </c>
      <c r="W63" s="34">
        <v>46027</v>
      </c>
      <c r="X63" s="35">
        <v>962010000</v>
      </c>
      <c r="Y63" s="31" t="s">
        <v>103</v>
      </c>
      <c r="Z63" s="39" t="s">
        <v>931</v>
      </c>
      <c r="AA63" s="37">
        <v>20124</v>
      </c>
      <c r="AB63" s="38" t="s">
        <v>105</v>
      </c>
      <c r="AC63" s="181" t="s">
        <v>106</v>
      </c>
      <c r="AD63" s="368" t="s">
        <v>107</v>
      </c>
      <c r="AE63" s="369" t="s">
        <v>152</v>
      </c>
      <c r="AF63" s="317" t="s">
        <v>102</v>
      </c>
      <c r="AG63" s="317"/>
      <c r="AH63" s="33" t="s">
        <v>932</v>
      </c>
      <c r="AI63" s="37" t="s">
        <v>933</v>
      </c>
      <c r="AJ63" s="255" t="s">
        <v>934</v>
      </c>
      <c r="AK63" s="203">
        <v>38555931</v>
      </c>
      <c r="AL63" s="317"/>
      <c r="AM63" s="370"/>
      <c r="AN63" s="45" t="s">
        <v>113</v>
      </c>
      <c r="AO63" s="49" t="s">
        <v>568</v>
      </c>
      <c r="AP63" s="49" t="s">
        <v>935</v>
      </c>
      <c r="AQ63" s="291" t="s">
        <v>116</v>
      </c>
      <c r="AR63" s="112" t="s">
        <v>936</v>
      </c>
      <c r="AS63" s="371" t="s">
        <v>937</v>
      </c>
      <c r="AT63" s="104" t="s">
        <v>832</v>
      </c>
      <c r="AU63" s="77" t="s">
        <v>938</v>
      </c>
      <c r="AV63" s="168" t="s">
        <v>939</v>
      </c>
      <c r="AW63" s="52" t="s">
        <v>398</v>
      </c>
      <c r="AX63" s="21" t="s">
        <v>834</v>
      </c>
      <c r="AY63" s="54">
        <f t="shared" si="0"/>
        <v>19220000</v>
      </c>
      <c r="AZ63" s="372"/>
      <c r="BA63" s="317"/>
      <c r="BB63" s="317"/>
      <c r="BC63" s="317"/>
      <c r="BD63" s="33" t="s">
        <v>400</v>
      </c>
      <c r="BE63" s="33">
        <v>4</v>
      </c>
      <c r="BF63" s="52" t="s">
        <v>247</v>
      </c>
      <c r="BG63" s="56">
        <v>4805000</v>
      </c>
      <c r="BH63" s="373"/>
      <c r="BI63" s="373"/>
      <c r="BJ63" s="373"/>
      <c r="BK63" s="373"/>
      <c r="BL63" s="355"/>
      <c r="BM63" s="374"/>
      <c r="BN63" s="375" t="s">
        <v>201</v>
      </c>
      <c r="BO63" s="102" t="s">
        <v>202</v>
      </c>
      <c r="BP63" s="33">
        <v>1098603026</v>
      </c>
      <c r="BQ63" s="170"/>
      <c r="BR63" s="21" t="s">
        <v>126</v>
      </c>
      <c r="BS63" s="59" t="s">
        <v>127</v>
      </c>
      <c r="BT63" s="134">
        <v>46035</v>
      </c>
      <c r="BU63" s="85">
        <v>4500401032</v>
      </c>
      <c r="BV63" s="135">
        <v>46036</v>
      </c>
      <c r="BW63" s="134">
        <v>46036</v>
      </c>
      <c r="BX63" s="134">
        <v>46036</v>
      </c>
      <c r="BY63" s="376"/>
      <c r="BZ63" s="376"/>
      <c r="CA63" s="376"/>
      <c r="CB63" s="376"/>
      <c r="CC63" s="376"/>
      <c r="CD63" s="376"/>
      <c r="CE63" s="377" t="s">
        <v>940</v>
      </c>
      <c r="CF63" s="116" t="s">
        <v>941</v>
      </c>
      <c r="CG63" s="356"/>
      <c r="CH63" s="116" t="s">
        <v>942</v>
      </c>
      <c r="CI63" s="325"/>
      <c r="CJ63" s="325"/>
      <c r="CK63" s="325"/>
      <c r="CL63" s="325"/>
      <c r="CM63" s="325"/>
    </row>
    <row r="64" spans="1:91" ht="28.5" customHeight="1" x14ac:dyDescent="0.25">
      <c r="A64" s="153" t="s">
        <v>91</v>
      </c>
      <c r="B64" s="154" t="s">
        <v>92</v>
      </c>
      <c r="C64" s="154" t="s">
        <v>93</v>
      </c>
      <c r="D64" s="170" t="s">
        <v>94</v>
      </c>
      <c r="E64" s="156" t="s">
        <v>95</v>
      </c>
      <c r="F64" s="157" t="s">
        <v>96</v>
      </c>
      <c r="G64" s="83" t="s">
        <v>97</v>
      </c>
      <c r="H64" s="88" t="s">
        <v>111</v>
      </c>
      <c r="I64" s="27" t="s">
        <v>281</v>
      </c>
      <c r="J64" s="120" t="s">
        <v>201</v>
      </c>
      <c r="K64" s="99" t="s">
        <v>202</v>
      </c>
      <c r="L64" s="26" t="s">
        <v>100</v>
      </c>
      <c r="M64" s="27" t="s">
        <v>99</v>
      </c>
      <c r="N64" s="379"/>
      <c r="O64" s="379"/>
      <c r="P64" s="380" t="s">
        <v>150</v>
      </c>
      <c r="Q64" s="380"/>
      <c r="R64" s="380"/>
      <c r="S64" s="381"/>
      <c r="T64" s="234"/>
      <c r="U64" s="234" t="s">
        <v>102</v>
      </c>
      <c r="V64" s="33">
        <v>3700028004</v>
      </c>
      <c r="W64" s="34">
        <v>46027</v>
      </c>
      <c r="X64" s="35">
        <v>1531992000</v>
      </c>
      <c r="Y64" s="31" t="s">
        <v>103</v>
      </c>
      <c r="Z64" s="36" t="s">
        <v>217</v>
      </c>
      <c r="AA64" s="37">
        <v>20115</v>
      </c>
      <c r="AB64" s="38" t="s">
        <v>151</v>
      </c>
      <c r="AC64" s="170" t="s">
        <v>251</v>
      </c>
      <c r="AD64" s="77" t="s">
        <v>252</v>
      </c>
      <c r="AE64" s="155" t="s">
        <v>253</v>
      </c>
      <c r="AF64" s="116"/>
      <c r="AG64" s="116" t="s">
        <v>102</v>
      </c>
      <c r="AH64" s="33" t="s">
        <v>943</v>
      </c>
      <c r="AI64" s="37" t="s">
        <v>944</v>
      </c>
      <c r="AJ64" s="382" t="s">
        <v>945</v>
      </c>
      <c r="AK64" s="289" t="s">
        <v>946</v>
      </c>
      <c r="AL64" s="383"/>
      <c r="AM64" s="384"/>
      <c r="AN64" s="45" t="s">
        <v>113</v>
      </c>
      <c r="AO64" s="49" t="s">
        <v>947</v>
      </c>
      <c r="AP64" s="102" t="s">
        <v>948</v>
      </c>
      <c r="AQ64" s="111" t="s">
        <v>116</v>
      </c>
      <c r="AR64" s="112" t="s">
        <v>949</v>
      </c>
      <c r="AS64" s="385" t="s">
        <v>950</v>
      </c>
      <c r="AT64" s="386" t="s">
        <v>951</v>
      </c>
      <c r="AU64" s="83" t="s">
        <v>952</v>
      </c>
      <c r="AV64" s="168" t="s">
        <v>953</v>
      </c>
      <c r="AW64" s="52" t="s">
        <v>398</v>
      </c>
      <c r="AX64" s="115" t="s">
        <v>954</v>
      </c>
      <c r="AY64" s="54">
        <f t="shared" si="0"/>
        <v>13020000</v>
      </c>
      <c r="AZ64" s="383"/>
      <c r="BA64" s="383"/>
      <c r="BB64" s="383"/>
      <c r="BC64" s="383"/>
      <c r="BD64" s="33" t="s">
        <v>400</v>
      </c>
      <c r="BE64" s="33">
        <v>4</v>
      </c>
      <c r="BF64" s="387" t="s">
        <v>955</v>
      </c>
      <c r="BG64" s="56">
        <v>3255000</v>
      </c>
      <c r="BH64" s="383"/>
      <c r="BI64" s="383"/>
      <c r="BJ64" s="383"/>
      <c r="BK64" s="383"/>
      <c r="BL64" s="383"/>
      <c r="BM64" s="374"/>
      <c r="BN64" s="375" t="s">
        <v>201</v>
      </c>
      <c r="BO64" s="102" t="s">
        <v>202</v>
      </c>
      <c r="BP64" s="33">
        <v>1098603026</v>
      </c>
      <c r="BQ64" s="39"/>
      <c r="BR64" s="21" t="s">
        <v>126</v>
      </c>
      <c r="BS64" s="59" t="s">
        <v>127</v>
      </c>
      <c r="BT64" s="388">
        <v>46036</v>
      </c>
      <c r="BU64" s="85">
        <v>4500401036</v>
      </c>
      <c r="BV64" s="389">
        <v>46036</v>
      </c>
      <c r="BW64" s="388">
        <v>46037</v>
      </c>
      <c r="BX64" s="388">
        <v>46037</v>
      </c>
      <c r="BY64" s="390"/>
      <c r="BZ64" s="390"/>
      <c r="CA64" s="390"/>
      <c r="CB64" s="390"/>
      <c r="CC64" s="390"/>
      <c r="CD64" s="390"/>
      <c r="CE64" s="391" t="s">
        <v>956</v>
      </c>
      <c r="CF64" s="392" t="s">
        <v>957</v>
      </c>
      <c r="CG64" s="393"/>
      <c r="CH64" s="127">
        <v>3127224993</v>
      </c>
      <c r="CI64" s="383"/>
      <c r="CJ64" s="383"/>
      <c r="CK64" s="383"/>
      <c r="CL64" s="383"/>
      <c r="CM64" s="383"/>
    </row>
    <row r="65" spans="1:91" ht="33" customHeight="1" x14ac:dyDescent="0.25">
      <c r="A65" s="98" t="s">
        <v>91</v>
      </c>
      <c r="B65" s="99" t="s">
        <v>92</v>
      </c>
      <c r="C65" s="99" t="s">
        <v>93</v>
      </c>
      <c r="D65" s="39" t="s">
        <v>94</v>
      </c>
      <c r="E65" s="100" t="s">
        <v>95</v>
      </c>
      <c r="F65" s="101" t="s">
        <v>96</v>
      </c>
      <c r="G65" s="102" t="s">
        <v>97</v>
      </c>
      <c r="H65" s="88" t="s">
        <v>111</v>
      </c>
      <c r="I65" s="27" t="s">
        <v>281</v>
      </c>
      <c r="J65" s="104" t="s">
        <v>323</v>
      </c>
      <c r="K65" s="104" t="s">
        <v>324</v>
      </c>
      <c r="L65" s="26" t="s">
        <v>100</v>
      </c>
      <c r="M65" s="27" t="s">
        <v>99</v>
      </c>
      <c r="N65" s="379"/>
      <c r="O65" s="379"/>
      <c r="P65" s="380" t="s">
        <v>150</v>
      </c>
      <c r="Q65" s="104"/>
      <c r="R65" s="394"/>
      <c r="S65" s="263"/>
      <c r="T65" s="107"/>
      <c r="U65" s="108" t="s">
        <v>102</v>
      </c>
      <c r="V65" s="33">
        <v>3700028004</v>
      </c>
      <c r="W65" s="34">
        <v>46027</v>
      </c>
      <c r="X65" s="35">
        <v>1531992000</v>
      </c>
      <c r="Y65" s="31" t="s">
        <v>103</v>
      </c>
      <c r="Z65" s="36" t="s">
        <v>217</v>
      </c>
      <c r="AA65" s="37">
        <v>20115</v>
      </c>
      <c r="AB65" s="38" t="s">
        <v>234</v>
      </c>
      <c r="AC65" s="39" t="s">
        <v>251</v>
      </c>
      <c r="AD65" s="42" t="s">
        <v>252</v>
      </c>
      <c r="AE65" s="172" t="s">
        <v>253</v>
      </c>
      <c r="AF65" s="37"/>
      <c r="AG65" s="37" t="s">
        <v>102</v>
      </c>
      <c r="AH65" s="33" t="s">
        <v>958</v>
      </c>
      <c r="AI65" s="37" t="s">
        <v>959</v>
      </c>
      <c r="AJ65" s="395" t="s">
        <v>960</v>
      </c>
      <c r="AK65" s="173" t="s">
        <v>961</v>
      </c>
      <c r="AL65" s="132" t="s">
        <v>962</v>
      </c>
      <c r="AM65" s="396"/>
      <c r="AN65" s="45" t="s">
        <v>113</v>
      </c>
      <c r="AO65" s="42" t="s">
        <v>258</v>
      </c>
      <c r="AP65" s="83" t="s">
        <v>963</v>
      </c>
      <c r="AQ65" s="167" t="s">
        <v>260</v>
      </c>
      <c r="AR65" s="167" t="s">
        <v>260</v>
      </c>
      <c r="AS65" s="83" t="s">
        <v>964</v>
      </c>
      <c r="AT65" s="83" t="s">
        <v>262</v>
      </c>
      <c r="AU65" s="83" t="s">
        <v>965</v>
      </c>
      <c r="AV65" s="102" t="s">
        <v>966</v>
      </c>
      <c r="AW65" s="52" t="s">
        <v>398</v>
      </c>
      <c r="AX65" s="21" t="s">
        <v>399</v>
      </c>
      <c r="AY65" s="54">
        <f t="shared" si="0"/>
        <v>14204000</v>
      </c>
      <c r="AZ65" s="133"/>
      <c r="BA65" s="133"/>
      <c r="BB65" s="133"/>
      <c r="BC65" s="133"/>
      <c r="BD65" s="33" t="s">
        <v>400</v>
      </c>
      <c r="BE65" s="33">
        <v>4</v>
      </c>
      <c r="BF65" s="39" t="s">
        <v>266</v>
      </c>
      <c r="BG65" s="56">
        <v>3551000</v>
      </c>
      <c r="BH65" s="118"/>
      <c r="BI65" s="118"/>
      <c r="BJ65" s="118"/>
      <c r="BK65" s="118"/>
      <c r="BL65" s="118"/>
      <c r="BM65" s="397"/>
      <c r="BN65" s="104" t="s">
        <v>323</v>
      </c>
      <c r="BO65" s="104" t="s">
        <v>324</v>
      </c>
      <c r="BP65" s="32">
        <v>31907790</v>
      </c>
      <c r="BQ65" s="39"/>
      <c r="BR65" s="21" t="s">
        <v>126</v>
      </c>
      <c r="BS65" s="59" t="s">
        <v>127</v>
      </c>
      <c r="BT65" s="60">
        <v>46031</v>
      </c>
      <c r="BU65" s="85">
        <v>4500399444</v>
      </c>
      <c r="BV65" s="62">
        <v>46035</v>
      </c>
      <c r="BW65" s="60">
        <v>46035</v>
      </c>
      <c r="BX65" s="60">
        <v>46035</v>
      </c>
      <c r="BY65" s="123"/>
      <c r="BZ65" s="123"/>
      <c r="CA65" s="123"/>
      <c r="CB65" s="123"/>
      <c r="CC65" s="123"/>
      <c r="CD65" s="123"/>
      <c r="CE65" s="313" t="s">
        <v>967</v>
      </c>
      <c r="CF65" s="398" t="s">
        <v>968</v>
      </c>
      <c r="CG65" s="138"/>
      <c r="CH65" s="37">
        <v>3167745280</v>
      </c>
      <c r="CI65" s="139" t="s">
        <v>131</v>
      </c>
      <c r="CJ65" s="140">
        <v>13</v>
      </c>
      <c r="CK65" s="140">
        <v>11</v>
      </c>
      <c r="CL65" s="140">
        <v>1998</v>
      </c>
      <c r="CM65" s="140">
        <f>2024-CL65</f>
        <v>26</v>
      </c>
    </row>
    <row r="66" spans="1:91" ht="36.75" customHeight="1" x14ac:dyDescent="0.25">
      <c r="A66" s="153" t="s">
        <v>91</v>
      </c>
      <c r="B66" s="154" t="s">
        <v>92</v>
      </c>
      <c r="C66" s="154" t="s">
        <v>93</v>
      </c>
      <c r="D66" s="170" t="s">
        <v>94</v>
      </c>
      <c r="E66" s="156" t="s">
        <v>95</v>
      </c>
      <c r="F66" s="157" t="s">
        <v>96</v>
      </c>
      <c r="G66" s="83" t="s">
        <v>97</v>
      </c>
      <c r="H66" s="88" t="s">
        <v>111</v>
      </c>
      <c r="I66" s="27" t="s">
        <v>281</v>
      </c>
      <c r="J66" s="104" t="s">
        <v>323</v>
      </c>
      <c r="K66" s="104" t="s">
        <v>324</v>
      </c>
      <c r="L66" s="26" t="s">
        <v>100</v>
      </c>
      <c r="M66" s="27" t="s">
        <v>99</v>
      </c>
      <c r="N66" s="103"/>
      <c r="O66" s="103"/>
      <c r="P66" s="104" t="s">
        <v>150</v>
      </c>
      <c r="Q66" s="158"/>
      <c r="R66" s="399"/>
      <c r="S66" s="400"/>
      <c r="T66" s="401"/>
      <c r="U66" s="108" t="s">
        <v>102</v>
      </c>
      <c r="V66" s="33">
        <v>3700028004</v>
      </c>
      <c r="W66" s="34">
        <v>46027</v>
      </c>
      <c r="X66" s="35">
        <v>1531992000</v>
      </c>
      <c r="Y66" s="31" t="s">
        <v>103</v>
      </c>
      <c r="Z66" s="168" t="s">
        <v>104</v>
      </c>
      <c r="AA66" s="37">
        <v>20115</v>
      </c>
      <c r="AB66" s="169" t="s">
        <v>105</v>
      </c>
      <c r="AC66" s="170" t="s">
        <v>251</v>
      </c>
      <c r="AD66" s="77" t="s">
        <v>252</v>
      </c>
      <c r="AE66" s="172" t="s">
        <v>152</v>
      </c>
      <c r="AF66" s="37" t="s">
        <v>102</v>
      </c>
      <c r="AG66" s="37"/>
      <c r="AH66" s="33" t="s">
        <v>969</v>
      </c>
      <c r="AI66" s="37" t="s">
        <v>970</v>
      </c>
      <c r="AJ66" s="382" t="s">
        <v>971</v>
      </c>
      <c r="AK66" s="289" t="s">
        <v>972</v>
      </c>
      <c r="AL66" s="383"/>
      <c r="AM66" s="384"/>
      <c r="AN66" s="45" t="s">
        <v>113</v>
      </c>
      <c r="AO66" s="102" t="s">
        <v>136</v>
      </c>
      <c r="AP66" s="102" t="s">
        <v>973</v>
      </c>
      <c r="AQ66" s="291" t="s">
        <v>116</v>
      </c>
      <c r="AR66" s="291" t="s">
        <v>974</v>
      </c>
      <c r="AS66" s="237" t="s">
        <v>975</v>
      </c>
      <c r="AT66" s="184" t="s">
        <v>119</v>
      </c>
      <c r="AU66" s="77" t="s">
        <v>976</v>
      </c>
      <c r="AV66" s="168" t="s">
        <v>977</v>
      </c>
      <c r="AW66" s="52" t="s">
        <v>122</v>
      </c>
      <c r="AX66" s="115" t="s">
        <v>123</v>
      </c>
      <c r="AY66" s="54">
        <f t="shared" si="0"/>
        <v>46956000</v>
      </c>
      <c r="AZ66" s="383"/>
      <c r="BA66" s="383"/>
      <c r="BB66" s="383"/>
      <c r="BC66" s="383"/>
      <c r="BD66" s="33" t="s">
        <v>124</v>
      </c>
      <c r="BE66" s="33">
        <v>6</v>
      </c>
      <c r="BF66" s="39" t="s">
        <v>200</v>
      </c>
      <c r="BG66" s="56">
        <v>7826000</v>
      </c>
      <c r="BH66" s="383"/>
      <c r="BI66" s="383"/>
      <c r="BJ66" s="383"/>
      <c r="BK66" s="383"/>
      <c r="BL66" s="383"/>
      <c r="BM66" s="383"/>
      <c r="BN66" s="104" t="s">
        <v>323</v>
      </c>
      <c r="BO66" s="104" t="s">
        <v>324</v>
      </c>
      <c r="BP66" s="32">
        <v>31907790</v>
      </c>
      <c r="BQ66" s="52"/>
      <c r="BR66" s="21" t="s">
        <v>126</v>
      </c>
      <c r="BS66" s="59" t="s">
        <v>127</v>
      </c>
      <c r="BT66" s="60">
        <v>46031</v>
      </c>
      <c r="BU66" s="85">
        <v>4500399322</v>
      </c>
      <c r="BV66" s="62">
        <v>46035</v>
      </c>
      <c r="BW66" s="60">
        <v>46035</v>
      </c>
      <c r="BX66" s="60">
        <v>46035</v>
      </c>
      <c r="BY66" s="123"/>
      <c r="BZ66" s="123"/>
      <c r="CA66" s="123"/>
      <c r="CB66" s="123"/>
      <c r="CC66" s="123"/>
      <c r="CD66" s="123"/>
      <c r="CE66" s="124" t="s">
        <v>978</v>
      </c>
      <c r="CF66" s="125" t="s">
        <v>979</v>
      </c>
      <c r="CG66" s="393"/>
      <c r="CH66" s="127">
        <v>3174277871</v>
      </c>
      <c r="CI66" s="383"/>
      <c r="CJ66" s="383"/>
      <c r="CK66" s="383"/>
      <c r="CL66" s="383"/>
      <c r="CM66" s="383"/>
    </row>
    <row r="67" spans="1:91" ht="43.5" customHeight="1" x14ac:dyDescent="0.25">
      <c r="A67" s="367" t="s">
        <v>91</v>
      </c>
      <c r="B67" s="170" t="s">
        <v>92</v>
      </c>
      <c r="C67" s="170" t="s">
        <v>93</v>
      </c>
      <c r="D67" s="170" t="s">
        <v>94</v>
      </c>
      <c r="E67" s="320" t="s">
        <v>95</v>
      </c>
      <c r="F67" s="330" t="s">
        <v>96</v>
      </c>
      <c r="G67" s="77" t="s">
        <v>97</v>
      </c>
      <c r="H67" s="88" t="s">
        <v>111</v>
      </c>
      <c r="I67" s="27" t="s">
        <v>281</v>
      </c>
      <c r="J67" s="40" t="s">
        <v>323</v>
      </c>
      <c r="K67" s="40" t="s">
        <v>324</v>
      </c>
      <c r="L67" s="26" t="s">
        <v>100</v>
      </c>
      <c r="M67" s="27" t="s">
        <v>99</v>
      </c>
      <c r="N67" s="402"/>
      <c r="O67" s="402"/>
      <c r="P67" s="40" t="s">
        <v>150</v>
      </c>
      <c r="Q67" s="158"/>
      <c r="R67" s="399"/>
      <c r="S67" s="400"/>
      <c r="T67" s="401"/>
      <c r="U67" s="108" t="s">
        <v>102</v>
      </c>
      <c r="V67" s="33">
        <v>3700028004</v>
      </c>
      <c r="W67" s="34">
        <v>46027</v>
      </c>
      <c r="X67" s="35">
        <v>1531992000</v>
      </c>
      <c r="Y67" s="31" t="s">
        <v>103</v>
      </c>
      <c r="Z67" s="36" t="s">
        <v>217</v>
      </c>
      <c r="AA67" s="37">
        <v>20115</v>
      </c>
      <c r="AB67" s="354" t="s">
        <v>105</v>
      </c>
      <c r="AC67" s="170" t="s">
        <v>251</v>
      </c>
      <c r="AD67" s="77" t="s">
        <v>252</v>
      </c>
      <c r="AE67" s="155" t="s">
        <v>253</v>
      </c>
      <c r="AF67" s="116"/>
      <c r="AG67" s="116" t="s">
        <v>102</v>
      </c>
      <c r="AH67" s="33" t="s">
        <v>980</v>
      </c>
      <c r="AI67" s="37" t="s">
        <v>981</v>
      </c>
      <c r="AJ67" s="212" t="s">
        <v>982</v>
      </c>
      <c r="AK67" s="289">
        <v>16948117</v>
      </c>
      <c r="AL67" s="403"/>
      <c r="AM67" s="125"/>
      <c r="AN67" s="404" t="s">
        <v>113</v>
      </c>
      <c r="AO67" s="42" t="s">
        <v>258</v>
      </c>
      <c r="AP67" s="40" t="s">
        <v>983</v>
      </c>
      <c r="AQ67" s="107" t="s">
        <v>260</v>
      </c>
      <c r="AR67" s="107" t="s">
        <v>260</v>
      </c>
      <c r="AS67" s="94" t="s">
        <v>349</v>
      </c>
      <c r="AT67" s="49" t="s">
        <v>349</v>
      </c>
      <c r="AU67" s="157" t="s">
        <v>984</v>
      </c>
      <c r="AV67" s="102" t="s">
        <v>614</v>
      </c>
      <c r="AW67" s="52" t="s">
        <v>122</v>
      </c>
      <c r="AX67" s="154" t="s">
        <v>985</v>
      </c>
      <c r="AY67" s="54">
        <f t="shared" si="0"/>
        <v>11620000</v>
      </c>
      <c r="AZ67" s="403"/>
      <c r="BA67" s="403"/>
      <c r="BB67" s="403"/>
      <c r="BC67" s="403"/>
      <c r="BD67" s="33" t="s">
        <v>400</v>
      </c>
      <c r="BE67" s="33">
        <v>4</v>
      </c>
      <c r="BF67" s="39" t="s">
        <v>353</v>
      </c>
      <c r="BG67" s="56">
        <v>2905000</v>
      </c>
      <c r="BH67" s="403"/>
      <c r="BI67" s="403"/>
      <c r="BJ67" s="403"/>
      <c r="BK67" s="403"/>
      <c r="BL67" s="403"/>
      <c r="BM67" s="84"/>
      <c r="BN67" s="28" t="s">
        <v>323</v>
      </c>
      <c r="BO67" s="28" t="s">
        <v>324</v>
      </c>
      <c r="BP67" s="32">
        <v>31907790</v>
      </c>
      <c r="BQ67" s="52"/>
      <c r="BR67" s="21" t="s">
        <v>126</v>
      </c>
      <c r="BS67" s="59" t="s">
        <v>127</v>
      </c>
      <c r="BT67" s="388">
        <v>46031</v>
      </c>
      <c r="BU67" s="85">
        <v>4500399330</v>
      </c>
      <c r="BV67" s="389">
        <v>46035</v>
      </c>
      <c r="BW67" s="388">
        <v>46035</v>
      </c>
      <c r="BX67" s="388">
        <v>46035</v>
      </c>
      <c r="BY67" s="405"/>
      <c r="BZ67" s="405"/>
      <c r="CA67" s="405"/>
      <c r="CB67" s="405"/>
      <c r="CC67" s="405"/>
      <c r="CD67" s="405"/>
      <c r="CE67" s="406" t="s">
        <v>986</v>
      </c>
      <c r="CF67" s="125" t="s">
        <v>987</v>
      </c>
      <c r="CG67" s="407"/>
      <c r="CH67" s="127">
        <v>3186808337</v>
      </c>
      <c r="CI67" s="403"/>
      <c r="CJ67" s="403"/>
      <c r="CK67" s="403"/>
      <c r="CL67" s="403"/>
      <c r="CM67" s="403"/>
    </row>
    <row r="68" spans="1:91" ht="27.75" customHeight="1" x14ac:dyDescent="0.25">
      <c r="A68" s="367" t="s">
        <v>91</v>
      </c>
      <c r="B68" s="170" t="s">
        <v>92</v>
      </c>
      <c r="C68" s="170" t="s">
        <v>93</v>
      </c>
      <c r="D68" s="170" t="s">
        <v>94</v>
      </c>
      <c r="E68" s="320" t="s">
        <v>95</v>
      </c>
      <c r="F68" s="330" t="s">
        <v>96</v>
      </c>
      <c r="G68" s="77" t="s">
        <v>97</v>
      </c>
      <c r="H68" s="88" t="s">
        <v>111</v>
      </c>
      <c r="I68" s="27" t="s">
        <v>281</v>
      </c>
      <c r="J68" s="40" t="s">
        <v>323</v>
      </c>
      <c r="K68" s="40" t="s">
        <v>324</v>
      </c>
      <c r="L68" s="26" t="s">
        <v>100</v>
      </c>
      <c r="M68" s="27" t="s">
        <v>99</v>
      </c>
      <c r="N68" s="408"/>
      <c r="O68" s="408"/>
      <c r="P68" s="76" t="s">
        <v>150</v>
      </c>
      <c r="Q68" s="158"/>
      <c r="R68" s="171"/>
      <c r="S68" s="400"/>
      <c r="T68" s="401"/>
      <c r="U68" s="108" t="s">
        <v>102</v>
      </c>
      <c r="V68" s="33">
        <v>3700028004</v>
      </c>
      <c r="W68" s="34">
        <v>46027</v>
      </c>
      <c r="X68" s="35">
        <v>1531992000</v>
      </c>
      <c r="Y68" s="31" t="s">
        <v>103</v>
      </c>
      <c r="Z68" s="36" t="s">
        <v>217</v>
      </c>
      <c r="AA68" s="37">
        <v>20115</v>
      </c>
      <c r="AB68" s="354" t="s">
        <v>105</v>
      </c>
      <c r="AC68" s="170" t="s">
        <v>251</v>
      </c>
      <c r="AD68" s="77" t="s">
        <v>252</v>
      </c>
      <c r="AE68" s="155" t="s">
        <v>253</v>
      </c>
      <c r="AF68" s="116"/>
      <c r="AG68" s="116" t="s">
        <v>102</v>
      </c>
      <c r="AH68" s="33" t="s">
        <v>988</v>
      </c>
      <c r="AI68" s="37" t="s">
        <v>989</v>
      </c>
      <c r="AJ68" s="212" t="s">
        <v>990</v>
      </c>
      <c r="AK68" s="289" t="s">
        <v>991</v>
      </c>
      <c r="AL68" s="403"/>
      <c r="AM68" s="125"/>
      <c r="AN68" s="45" t="s">
        <v>113</v>
      </c>
      <c r="AO68" s="42" t="s">
        <v>258</v>
      </c>
      <c r="AP68" s="40" t="s">
        <v>992</v>
      </c>
      <c r="AQ68" s="107" t="s">
        <v>260</v>
      </c>
      <c r="AR68" s="107" t="s">
        <v>260</v>
      </c>
      <c r="AS68" s="94" t="s">
        <v>349</v>
      </c>
      <c r="AT68" s="49" t="s">
        <v>349</v>
      </c>
      <c r="AU68" s="157" t="s">
        <v>984</v>
      </c>
      <c r="AV68" s="102" t="s">
        <v>614</v>
      </c>
      <c r="AW68" s="52" t="s">
        <v>398</v>
      </c>
      <c r="AX68" s="154" t="s">
        <v>985</v>
      </c>
      <c r="AY68" s="54">
        <f t="shared" si="0"/>
        <v>11620000</v>
      </c>
      <c r="AZ68" s="403"/>
      <c r="BA68" s="403"/>
      <c r="BB68" s="403"/>
      <c r="BC68" s="403"/>
      <c r="BD68" s="33" t="s">
        <v>400</v>
      </c>
      <c r="BE68" s="33">
        <v>4</v>
      </c>
      <c r="BF68" s="39" t="s">
        <v>353</v>
      </c>
      <c r="BG68" s="56">
        <v>2905000</v>
      </c>
      <c r="BH68" s="403"/>
      <c r="BI68" s="403"/>
      <c r="BJ68" s="403"/>
      <c r="BK68" s="403"/>
      <c r="BL68" s="403"/>
      <c r="BM68" s="403"/>
      <c r="BN68" s="104" t="s">
        <v>323</v>
      </c>
      <c r="BO68" s="104" t="s">
        <v>324</v>
      </c>
      <c r="BP68" s="32">
        <v>31907790</v>
      </c>
      <c r="BQ68" s="39"/>
      <c r="BR68" s="21" t="s">
        <v>126</v>
      </c>
      <c r="BS68" s="59" t="s">
        <v>127</v>
      </c>
      <c r="BT68" s="388">
        <v>46035</v>
      </c>
      <c r="BU68" s="85">
        <v>4500401056</v>
      </c>
      <c r="BV68" s="389">
        <v>46036</v>
      </c>
      <c r="BW68" s="388">
        <v>46036</v>
      </c>
      <c r="BX68" s="388">
        <v>46036</v>
      </c>
      <c r="BY68" s="405"/>
      <c r="BZ68" s="405"/>
      <c r="CA68" s="405"/>
      <c r="CB68" s="405"/>
      <c r="CC68" s="405"/>
      <c r="CD68" s="405"/>
      <c r="CE68" s="406" t="s">
        <v>986</v>
      </c>
      <c r="CF68" s="125" t="s">
        <v>993</v>
      </c>
      <c r="CG68" s="407"/>
      <c r="CH68" s="127">
        <v>3116988711</v>
      </c>
      <c r="CI68" s="403"/>
      <c r="CJ68" s="403"/>
      <c r="CK68" s="403"/>
      <c r="CL68" s="403"/>
      <c r="CM68" s="403"/>
    </row>
    <row r="69" spans="1:91" ht="33" customHeight="1" x14ac:dyDescent="0.25">
      <c r="A69" s="153" t="s">
        <v>91</v>
      </c>
      <c r="B69" s="154" t="s">
        <v>92</v>
      </c>
      <c r="C69" s="154" t="s">
        <v>93</v>
      </c>
      <c r="D69" s="170" t="s">
        <v>94</v>
      </c>
      <c r="E69" s="156" t="s">
        <v>95</v>
      </c>
      <c r="F69" s="157" t="s">
        <v>96</v>
      </c>
      <c r="G69" s="83" t="s">
        <v>97</v>
      </c>
      <c r="H69" s="88" t="s">
        <v>111</v>
      </c>
      <c r="I69" s="27" t="s">
        <v>281</v>
      </c>
      <c r="J69" s="49" t="s">
        <v>323</v>
      </c>
      <c r="K69" s="49" t="s">
        <v>324</v>
      </c>
      <c r="L69" s="26" t="s">
        <v>100</v>
      </c>
      <c r="M69" s="27" t="s">
        <v>99</v>
      </c>
      <c r="N69" s="200"/>
      <c r="O69" s="200"/>
      <c r="P69" s="49" t="s">
        <v>186</v>
      </c>
      <c r="Q69" s="49" t="s">
        <v>187</v>
      </c>
      <c r="R69" s="105" t="s">
        <v>618</v>
      </c>
      <c r="S69" s="74" t="s">
        <v>994</v>
      </c>
      <c r="T69" s="300" t="s">
        <v>102</v>
      </c>
      <c r="U69" s="80"/>
      <c r="V69" s="37">
        <v>3500254255</v>
      </c>
      <c r="W69" s="34">
        <v>46027</v>
      </c>
      <c r="X69" s="35">
        <v>962010000</v>
      </c>
      <c r="Y69" s="31" t="s">
        <v>103</v>
      </c>
      <c r="Z69" s="170" t="s">
        <v>995</v>
      </c>
      <c r="AA69" s="37">
        <v>20124</v>
      </c>
      <c r="AB69" s="169" t="s">
        <v>105</v>
      </c>
      <c r="AC69" s="170" t="s">
        <v>106</v>
      </c>
      <c r="AD69" s="77" t="s">
        <v>107</v>
      </c>
      <c r="AE69" s="320" t="s">
        <v>801</v>
      </c>
      <c r="AF69" s="116" t="s">
        <v>102</v>
      </c>
      <c r="AG69" s="116"/>
      <c r="AH69" s="33" t="s">
        <v>996</v>
      </c>
      <c r="AI69" s="37" t="s">
        <v>997</v>
      </c>
      <c r="AJ69" s="255" t="s">
        <v>998</v>
      </c>
      <c r="AK69" s="203" t="s">
        <v>999</v>
      </c>
      <c r="AL69" s="317"/>
      <c r="AM69" s="409"/>
      <c r="AN69" s="45" t="s">
        <v>113</v>
      </c>
      <c r="AO69" s="83" t="s">
        <v>136</v>
      </c>
      <c r="AP69" s="83" t="s">
        <v>1000</v>
      </c>
      <c r="AQ69" s="112" t="s">
        <v>116</v>
      </c>
      <c r="AR69" s="410" t="s">
        <v>1001</v>
      </c>
      <c r="AS69" s="156" t="s">
        <v>1002</v>
      </c>
      <c r="AT69" s="83" t="s">
        <v>119</v>
      </c>
      <c r="AU69" s="83" t="s">
        <v>809</v>
      </c>
      <c r="AV69" s="102" t="s">
        <v>701</v>
      </c>
      <c r="AW69" s="52" t="s">
        <v>398</v>
      </c>
      <c r="AX69" s="115" t="s">
        <v>1003</v>
      </c>
      <c r="AY69" s="54">
        <f t="shared" si="0"/>
        <v>31304000</v>
      </c>
      <c r="AZ69" s="117"/>
      <c r="BA69" s="117"/>
      <c r="BB69" s="117"/>
      <c r="BC69" s="117"/>
      <c r="BD69" s="33" t="s">
        <v>400</v>
      </c>
      <c r="BE69" s="33">
        <v>4</v>
      </c>
      <c r="BF69" s="39" t="s">
        <v>200</v>
      </c>
      <c r="BG69" s="56">
        <v>7826000</v>
      </c>
      <c r="BH69" s="117"/>
      <c r="BI69" s="117"/>
      <c r="BJ69" s="117"/>
      <c r="BK69" s="117"/>
      <c r="BL69" s="117"/>
      <c r="BM69" s="117"/>
      <c r="BN69" s="49" t="s">
        <v>323</v>
      </c>
      <c r="BO69" s="49" t="s">
        <v>324</v>
      </c>
      <c r="BP69" s="32">
        <v>31907790</v>
      </c>
      <c r="BQ69" s="170"/>
      <c r="BR69" s="21" t="s">
        <v>126</v>
      </c>
      <c r="BS69" s="274" t="s">
        <v>127</v>
      </c>
      <c r="BT69" s="60">
        <v>46035</v>
      </c>
      <c r="BU69" s="275">
        <v>4500400074</v>
      </c>
      <c r="BV69" s="276">
        <v>46035</v>
      </c>
      <c r="BW69" s="60">
        <v>46035</v>
      </c>
      <c r="BX69" s="388">
        <v>46035</v>
      </c>
      <c r="BY69" s="167"/>
      <c r="BZ69" s="167"/>
      <c r="CA69" s="167"/>
      <c r="CB69" s="167"/>
      <c r="CC69" s="167"/>
      <c r="CD69" s="167"/>
      <c r="CE69" s="411" t="s">
        <v>1004</v>
      </c>
      <c r="CF69" s="125" t="s">
        <v>1005</v>
      </c>
      <c r="CG69" s="412"/>
      <c r="CH69" s="127">
        <v>3117384205</v>
      </c>
      <c r="CI69" s="413">
        <v>3017510181</v>
      </c>
      <c r="CJ69" s="414" t="s">
        <v>1006</v>
      </c>
      <c r="CK69" s="323" t="s">
        <v>1007</v>
      </c>
      <c r="CL69" s="201" t="s">
        <v>131</v>
      </c>
      <c r="CM69" s="182">
        <v>19</v>
      </c>
    </row>
    <row r="70" spans="1:91" ht="51" customHeight="1" x14ac:dyDescent="0.25">
      <c r="A70" s="367" t="s">
        <v>91</v>
      </c>
      <c r="B70" s="170" t="s">
        <v>92</v>
      </c>
      <c r="C70" s="170" t="s">
        <v>93</v>
      </c>
      <c r="D70" s="170" t="s">
        <v>94</v>
      </c>
      <c r="E70" s="320" t="s">
        <v>95</v>
      </c>
      <c r="F70" s="330" t="s">
        <v>96</v>
      </c>
      <c r="G70" s="77" t="s">
        <v>97</v>
      </c>
      <c r="H70" s="88" t="s">
        <v>111</v>
      </c>
      <c r="I70" s="27" t="s">
        <v>281</v>
      </c>
      <c r="J70" s="40" t="s">
        <v>323</v>
      </c>
      <c r="K70" s="40" t="s">
        <v>324</v>
      </c>
      <c r="L70" s="26" t="s">
        <v>100</v>
      </c>
      <c r="M70" s="27" t="s">
        <v>99</v>
      </c>
      <c r="N70" s="402"/>
      <c r="O70" s="402"/>
      <c r="P70" s="40" t="s">
        <v>150</v>
      </c>
      <c r="Q70" s="158"/>
      <c r="R70" s="399"/>
      <c r="S70" s="400"/>
      <c r="T70" s="401"/>
      <c r="U70" s="108" t="s">
        <v>102</v>
      </c>
      <c r="V70" s="33">
        <v>3700028004</v>
      </c>
      <c r="W70" s="34">
        <v>46027</v>
      </c>
      <c r="X70" s="35">
        <v>1531992000</v>
      </c>
      <c r="Y70" s="31" t="s">
        <v>103</v>
      </c>
      <c r="Z70" s="415" t="s">
        <v>217</v>
      </c>
      <c r="AA70" s="37">
        <v>20115</v>
      </c>
      <c r="AB70" s="354" t="s">
        <v>105</v>
      </c>
      <c r="AC70" s="170" t="s">
        <v>251</v>
      </c>
      <c r="AD70" s="77" t="s">
        <v>252</v>
      </c>
      <c r="AE70" s="172" t="s">
        <v>253</v>
      </c>
      <c r="AF70" s="37"/>
      <c r="AG70" s="37" t="s">
        <v>102</v>
      </c>
      <c r="AH70" s="33" t="s">
        <v>1008</v>
      </c>
      <c r="AI70" s="37" t="s">
        <v>1009</v>
      </c>
      <c r="AJ70" s="212" t="s">
        <v>1010</v>
      </c>
      <c r="AK70" s="289" t="s">
        <v>1011</v>
      </c>
      <c r="AL70" s="403"/>
      <c r="AM70" s="416"/>
      <c r="AN70" s="45" t="s">
        <v>113</v>
      </c>
      <c r="AO70" s="243" t="s">
        <v>393</v>
      </c>
      <c r="AP70" s="104" t="s">
        <v>1012</v>
      </c>
      <c r="AQ70" s="300" t="s">
        <v>260</v>
      </c>
      <c r="AR70" s="300" t="s">
        <v>260</v>
      </c>
      <c r="AS70" s="104" t="s">
        <v>349</v>
      </c>
      <c r="AT70" s="104" t="s">
        <v>349</v>
      </c>
      <c r="AU70" s="157" t="s">
        <v>984</v>
      </c>
      <c r="AV70" s="102" t="s">
        <v>614</v>
      </c>
      <c r="AW70" s="52" t="s">
        <v>398</v>
      </c>
      <c r="AX70" s="154" t="s">
        <v>985</v>
      </c>
      <c r="AY70" s="54">
        <f t="shared" si="0"/>
        <v>11620000</v>
      </c>
      <c r="AZ70" s="417"/>
      <c r="BA70" s="417"/>
      <c r="BB70" s="417"/>
      <c r="BC70" s="417"/>
      <c r="BD70" s="33" t="s">
        <v>400</v>
      </c>
      <c r="BE70" s="33">
        <v>4</v>
      </c>
      <c r="BF70" s="39" t="s">
        <v>353</v>
      </c>
      <c r="BG70" s="56">
        <v>2905000</v>
      </c>
      <c r="BH70" s="403"/>
      <c r="BI70" s="403"/>
      <c r="BJ70" s="403"/>
      <c r="BK70" s="403"/>
      <c r="BL70" s="403"/>
      <c r="BM70" s="403"/>
      <c r="BN70" s="104" t="s">
        <v>323</v>
      </c>
      <c r="BO70" s="104" t="s">
        <v>324</v>
      </c>
      <c r="BP70" s="32">
        <v>31907790</v>
      </c>
      <c r="BQ70" s="39"/>
      <c r="BR70" s="21" t="s">
        <v>126</v>
      </c>
      <c r="BS70" s="59" t="s">
        <v>127</v>
      </c>
      <c r="BT70" s="60">
        <v>46031</v>
      </c>
      <c r="BU70" s="85">
        <v>4500399341</v>
      </c>
      <c r="BV70" s="62">
        <v>46035</v>
      </c>
      <c r="BW70" s="60">
        <v>46035</v>
      </c>
      <c r="BX70" s="388">
        <v>46035</v>
      </c>
      <c r="BY70" s="405"/>
      <c r="BZ70" s="405"/>
      <c r="CA70" s="405"/>
      <c r="CB70" s="405"/>
      <c r="CC70" s="405"/>
      <c r="CD70" s="405"/>
      <c r="CE70" s="406" t="s">
        <v>1013</v>
      </c>
      <c r="CF70" s="125" t="s">
        <v>1014</v>
      </c>
      <c r="CG70" s="418"/>
      <c r="CH70" s="127">
        <v>3103734636</v>
      </c>
      <c r="CI70" s="403"/>
      <c r="CJ70" s="403"/>
      <c r="CK70" s="403"/>
      <c r="CL70" s="403"/>
      <c r="CM70" s="403"/>
    </row>
    <row r="71" spans="1:91" ht="43.5" customHeight="1" x14ac:dyDescent="0.25">
      <c r="A71" s="98" t="s">
        <v>91</v>
      </c>
      <c r="B71" s="154" t="s">
        <v>92</v>
      </c>
      <c r="C71" s="154" t="s">
        <v>93</v>
      </c>
      <c r="D71" s="22" t="s">
        <v>94</v>
      </c>
      <c r="E71" s="156" t="s">
        <v>95</v>
      </c>
      <c r="F71" s="157" t="s">
        <v>96</v>
      </c>
      <c r="G71" s="83" t="s">
        <v>97</v>
      </c>
      <c r="H71" s="88" t="s">
        <v>111</v>
      </c>
      <c r="I71" s="27" t="s">
        <v>281</v>
      </c>
      <c r="J71" s="40" t="s">
        <v>323</v>
      </c>
      <c r="K71" s="40" t="s">
        <v>324</v>
      </c>
      <c r="L71" s="26" t="s">
        <v>100</v>
      </c>
      <c r="M71" s="27" t="s">
        <v>99</v>
      </c>
      <c r="N71" s="28"/>
      <c r="O71" s="28"/>
      <c r="P71" s="28" t="s">
        <v>186</v>
      </c>
      <c r="Q71" s="28" t="s">
        <v>187</v>
      </c>
      <c r="R71" s="261" t="s">
        <v>618</v>
      </c>
      <c r="S71" s="186" t="s">
        <v>619</v>
      </c>
      <c r="T71" s="31" t="s">
        <v>102</v>
      </c>
      <c r="U71" s="33"/>
      <c r="V71" s="37">
        <v>3500254255</v>
      </c>
      <c r="W71" s="34">
        <v>46027</v>
      </c>
      <c r="X71" s="35">
        <v>962010000</v>
      </c>
      <c r="Y71" s="31" t="s">
        <v>103</v>
      </c>
      <c r="Z71" s="39" t="s">
        <v>620</v>
      </c>
      <c r="AA71" s="37">
        <v>20124</v>
      </c>
      <c r="AB71" s="38" t="s">
        <v>234</v>
      </c>
      <c r="AC71" s="170" t="s">
        <v>251</v>
      </c>
      <c r="AD71" s="171" t="s">
        <v>252</v>
      </c>
      <c r="AE71" s="202" t="s">
        <v>152</v>
      </c>
      <c r="AF71" s="116" t="s">
        <v>102</v>
      </c>
      <c r="AG71" s="116"/>
      <c r="AH71" s="33" t="s">
        <v>1015</v>
      </c>
      <c r="AI71" s="37" t="s">
        <v>1016</v>
      </c>
      <c r="AJ71" s="52" t="s">
        <v>1017</v>
      </c>
      <c r="AK71" s="31" t="s">
        <v>1018</v>
      </c>
      <c r="AL71" s="204"/>
      <c r="AM71" s="193"/>
      <c r="AN71" s="419" t="s">
        <v>113</v>
      </c>
      <c r="AO71" s="46" t="s">
        <v>568</v>
      </c>
      <c r="AP71" s="46" t="s">
        <v>1019</v>
      </c>
      <c r="AQ71" s="291" t="s">
        <v>116</v>
      </c>
      <c r="AR71" s="291" t="s">
        <v>1020</v>
      </c>
      <c r="AS71" s="83" t="s">
        <v>1021</v>
      </c>
      <c r="AT71" s="49" t="s">
        <v>262</v>
      </c>
      <c r="AU71" s="83" t="s">
        <v>677</v>
      </c>
      <c r="AV71" s="102" t="s">
        <v>1022</v>
      </c>
      <c r="AW71" s="52" t="s">
        <v>122</v>
      </c>
      <c r="AX71" s="21" t="s">
        <v>834</v>
      </c>
      <c r="AY71" s="54">
        <f t="shared" si="0"/>
        <v>19220000</v>
      </c>
      <c r="AZ71" s="116"/>
      <c r="BA71" s="116"/>
      <c r="BB71" s="117"/>
      <c r="BC71" s="117"/>
      <c r="BD71" s="33" t="s">
        <v>400</v>
      </c>
      <c r="BE71" s="33">
        <v>4</v>
      </c>
      <c r="BF71" s="52" t="s">
        <v>247</v>
      </c>
      <c r="BG71" s="56">
        <v>4805000</v>
      </c>
      <c r="BH71" s="179"/>
      <c r="BI71" s="179"/>
      <c r="BJ71" s="179"/>
      <c r="BK71" s="179"/>
      <c r="BL71" s="179"/>
      <c r="BM71" s="154"/>
      <c r="BN71" s="46" t="s">
        <v>323</v>
      </c>
      <c r="BO71" s="49" t="s">
        <v>324</v>
      </c>
      <c r="BP71" s="32">
        <v>31907790</v>
      </c>
      <c r="BQ71" s="52"/>
      <c r="BR71" s="21" t="s">
        <v>126</v>
      </c>
      <c r="BS71" s="59" t="s">
        <v>127</v>
      </c>
      <c r="BT71" s="60">
        <v>46031</v>
      </c>
      <c r="BU71" s="85">
        <v>4500399449</v>
      </c>
      <c r="BV71" s="62">
        <v>46035</v>
      </c>
      <c r="BW71" s="60">
        <v>46036</v>
      </c>
      <c r="BX71" s="388">
        <v>46036</v>
      </c>
      <c r="BY71" s="167"/>
      <c r="BZ71" s="167"/>
      <c r="CA71" s="167"/>
      <c r="CB71" s="167"/>
      <c r="CC71" s="167"/>
      <c r="CD71" s="167"/>
      <c r="CE71" s="411" t="s">
        <v>1023</v>
      </c>
      <c r="CF71" s="125" t="s">
        <v>1024</v>
      </c>
      <c r="CG71" s="317"/>
      <c r="CH71" s="127">
        <v>3013486878</v>
      </c>
      <c r="CI71" s="116"/>
      <c r="CJ71" s="116"/>
      <c r="CK71" s="116"/>
      <c r="CL71" s="116"/>
      <c r="CM71" s="170"/>
    </row>
    <row r="72" spans="1:91" ht="33" customHeight="1" x14ac:dyDescent="0.25">
      <c r="A72" s="98" t="s">
        <v>91</v>
      </c>
      <c r="B72" s="154" t="s">
        <v>92</v>
      </c>
      <c r="C72" s="154" t="s">
        <v>93</v>
      </c>
      <c r="D72" s="22" t="s">
        <v>94</v>
      </c>
      <c r="E72" s="156" t="s">
        <v>95</v>
      </c>
      <c r="F72" s="157" t="s">
        <v>96</v>
      </c>
      <c r="G72" s="83" t="s">
        <v>97</v>
      </c>
      <c r="H72" s="88" t="s">
        <v>111</v>
      </c>
      <c r="I72" s="27" t="s">
        <v>281</v>
      </c>
      <c r="J72" s="154" t="s">
        <v>323</v>
      </c>
      <c r="K72" s="46" t="s">
        <v>324</v>
      </c>
      <c r="L72" s="26" t="s">
        <v>100</v>
      </c>
      <c r="M72" s="27" t="s">
        <v>99</v>
      </c>
      <c r="N72" s="200"/>
      <c r="O72" s="200"/>
      <c r="P72" s="49" t="s">
        <v>150</v>
      </c>
      <c r="Q72" s="164"/>
      <c r="R72" s="164"/>
      <c r="S72" s="164"/>
      <c r="T72" s="164"/>
      <c r="U72" s="164" t="s">
        <v>102</v>
      </c>
      <c r="V72" s="33">
        <v>3700028004</v>
      </c>
      <c r="W72" s="34">
        <v>46027</v>
      </c>
      <c r="X72" s="35">
        <v>1531992000</v>
      </c>
      <c r="Y72" s="31" t="s">
        <v>103</v>
      </c>
      <c r="Z72" s="168" t="s">
        <v>104</v>
      </c>
      <c r="AA72" s="37">
        <v>20115</v>
      </c>
      <c r="AB72" s="38" t="s">
        <v>105</v>
      </c>
      <c r="AC72" s="170" t="s">
        <v>251</v>
      </c>
      <c r="AD72" s="40" t="s">
        <v>107</v>
      </c>
      <c r="AE72" s="91" t="s">
        <v>801</v>
      </c>
      <c r="AF72" s="37" t="s">
        <v>102</v>
      </c>
      <c r="AG72" s="37"/>
      <c r="AH72" s="33" t="s">
        <v>1025</v>
      </c>
      <c r="AI72" s="37" t="s">
        <v>1026</v>
      </c>
      <c r="AJ72" s="52" t="s">
        <v>1027</v>
      </c>
      <c r="AK72" s="193" t="s">
        <v>1028</v>
      </c>
      <c r="AL72" s="204"/>
      <c r="AM72" s="193"/>
      <c r="AN72" s="420" t="s">
        <v>113</v>
      </c>
      <c r="AO72" s="214" t="s">
        <v>1029</v>
      </c>
      <c r="AP72" s="46" t="s">
        <v>1030</v>
      </c>
      <c r="AQ72" s="47" t="s">
        <v>116</v>
      </c>
      <c r="AR72" s="421" t="s">
        <v>1031</v>
      </c>
      <c r="AS72" s="154" t="s">
        <v>1032</v>
      </c>
      <c r="AT72" s="244" t="s">
        <v>179</v>
      </c>
      <c r="AU72" s="46" t="s">
        <v>1033</v>
      </c>
      <c r="AV72" s="382" t="s">
        <v>1034</v>
      </c>
      <c r="AW72" s="52" t="s">
        <v>122</v>
      </c>
      <c r="AX72" s="21" t="s">
        <v>164</v>
      </c>
      <c r="AY72" s="54">
        <f t="shared" si="0"/>
        <v>37482000</v>
      </c>
      <c r="AZ72" s="84"/>
      <c r="BA72" s="84"/>
      <c r="BB72" s="84"/>
      <c r="BC72" s="84"/>
      <c r="BD72" s="33" t="s">
        <v>124</v>
      </c>
      <c r="BE72" s="33">
        <v>6</v>
      </c>
      <c r="BF72" s="52" t="s">
        <v>165</v>
      </c>
      <c r="BG72" s="56">
        <v>6247000</v>
      </c>
      <c r="BH72" s="179"/>
      <c r="BI72" s="179"/>
      <c r="BJ72" s="179"/>
      <c r="BK72" s="179"/>
      <c r="BL72" s="179"/>
      <c r="BM72" s="154"/>
      <c r="BN72" s="46" t="s">
        <v>323</v>
      </c>
      <c r="BO72" s="49" t="s">
        <v>324</v>
      </c>
      <c r="BP72" s="32">
        <v>31907790</v>
      </c>
      <c r="BQ72" s="52"/>
      <c r="BR72" s="21" t="s">
        <v>126</v>
      </c>
      <c r="BS72" s="59" t="s">
        <v>127</v>
      </c>
      <c r="BT72" s="60">
        <v>46042</v>
      </c>
      <c r="BU72" s="85">
        <v>4500405048</v>
      </c>
      <c r="BV72" s="62">
        <v>46042</v>
      </c>
      <c r="BW72" s="60">
        <v>46043</v>
      </c>
      <c r="BX72" s="388">
        <v>46043</v>
      </c>
      <c r="BY72" s="167"/>
      <c r="BZ72" s="167"/>
      <c r="CA72" s="167"/>
      <c r="CB72" s="167"/>
      <c r="CC72" s="167"/>
      <c r="CD72" s="167"/>
      <c r="CE72" s="411" t="s">
        <v>1035</v>
      </c>
      <c r="CF72" s="125" t="s">
        <v>1036</v>
      </c>
      <c r="CG72" s="173" t="s">
        <v>1037</v>
      </c>
      <c r="CH72" s="127">
        <v>3183045923</v>
      </c>
      <c r="CI72" s="116"/>
      <c r="CJ72" s="116">
        <v>1</v>
      </c>
      <c r="CK72" s="116">
        <v>4</v>
      </c>
      <c r="CL72" s="116">
        <v>2005</v>
      </c>
      <c r="CM72" s="71">
        <f>2025-CL72</f>
        <v>20</v>
      </c>
    </row>
    <row r="73" spans="1:91" ht="33.75" customHeight="1" x14ac:dyDescent="0.25">
      <c r="A73" s="98" t="s">
        <v>91</v>
      </c>
      <c r="B73" s="99" t="s">
        <v>92</v>
      </c>
      <c r="C73" s="99" t="s">
        <v>93</v>
      </c>
      <c r="D73" s="22" t="s">
        <v>94</v>
      </c>
      <c r="E73" s="100" t="s">
        <v>95</v>
      </c>
      <c r="F73" s="101" t="s">
        <v>96</v>
      </c>
      <c r="G73" s="102" t="s">
        <v>97</v>
      </c>
      <c r="H73" s="88" t="s">
        <v>111</v>
      </c>
      <c r="I73" s="27" t="s">
        <v>281</v>
      </c>
      <c r="J73" s="28" t="s">
        <v>323</v>
      </c>
      <c r="K73" s="104" t="s">
        <v>324</v>
      </c>
      <c r="L73" s="26" t="s">
        <v>100</v>
      </c>
      <c r="M73" s="27" t="s">
        <v>99</v>
      </c>
      <c r="N73" s="28"/>
      <c r="O73" s="28"/>
      <c r="P73" s="28" t="s">
        <v>150</v>
      </c>
      <c r="Q73" s="102"/>
      <c r="R73" s="422"/>
      <c r="S73" s="286"/>
      <c r="T73" s="107"/>
      <c r="U73" s="108" t="s">
        <v>102</v>
      </c>
      <c r="V73" s="33">
        <v>3700028004</v>
      </c>
      <c r="W73" s="34">
        <v>46027</v>
      </c>
      <c r="X73" s="35">
        <v>1531992000</v>
      </c>
      <c r="Y73" s="31" t="s">
        <v>103</v>
      </c>
      <c r="Z73" s="168" t="s">
        <v>217</v>
      </c>
      <c r="AA73" s="37">
        <v>20115</v>
      </c>
      <c r="AB73" s="38" t="s">
        <v>234</v>
      </c>
      <c r="AC73" s="39" t="s">
        <v>251</v>
      </c>
      <c r="AD73" s="40" t="s">
        <v>252</v>
      </c>
      <c r="AE73" s="172" t="s">
        <v>253</v>
      </c>
      <c r="AF73" s="37"/>
      <c r="AG73" s="37" t="s">
        <v>102</v>
      </c>
      <c r="AH73" s="33" t="s">
        <v>1038</v>
      </c>
      <c r="AI73" s="37" t="s">
        <v>1039</v>
      </c>
      <c r="AJ73" s="255" t="s">
        <v>1040</v>
      </c>
      <c r="AK73" s="109" t="s">
        <v>1041</v>
      </c>
      <c r="AL73" s="110"/>
      <c r="AM73" s="409"/>
      <c r="AN73" s="420" t="s">
        <v>113</v>
      </c>
      <c r="AO73" s="243" t="s">
        <v>393</v>
      </c>
      <c r="AP73" s="28" t="s">
        <v>1042</v>
      </c>
      <c r="AQ73" s="167" t="s">
        <v>260</v>
      </c>
      <c r="AR73" s="167" t="s">
        <v>260</v>
      </c>
      <c r="AS73" s="49" t="s">
        <v>1043</v>
      </c>
      <c r="AT73" s="291" t="s">
        <v>349</v>
      </c>
      <c r="AU73" s="83" t="s">
        <v>1044</v>
      </c>
      <c r="AV73" s="102" t="s">
        <v>1045</v>
      </c>
      <c r="AW73" s="52" t="s">
        <v>122</v>
      </c>
      <c r="AX73" s="154" t="s">
        <v>985</v>
      </c>
      <c r="AY73" s="54">
        <f t="shared" si="0"/>
        <v>11620000</v>
      </c>
      <c r="AZ73" s="423"/>
      <c r="BA73" s="423"/>
      <c r="BB73" s="424"/>
      <c r="BC73" s="424"/>
      <c r="BD73" s="33" t="s">
        <v>400</v>
      </c>
      <c r="BE73" s="33">
        <v>4</v>
      </c>
      <c r="BF73" s="39" t="s">
        <v>353</v>
      </c>
      <c r="BG73" s="56">
        <v>2905000</v>
      </c>
      <c r="BH73" s="423"/>
      <c r="BI73" s="423"/>
      <c r="BJ73" s="423"/>
      <c r="BK73" s="423"/>
      <c r="BL73" s="423"/>
      <c r="BM73" s="425"/>
      <c r="BN73" s="28" t="s">
        <v>323</v>
      </c>
      <c r="BO73" s="104" t="s">
        <v>324</v>
      </c>
      <c r="BP73" s="32">
        <v>31907790</v>
      </c>
      <c r="BQ73" s="39"/>
      <c r="BR73" s="21" t="s">
        <v>126</v>
      </c>
      <c r="BS73" s="59" t="s">
        <v>127</v>
      </c>
      <c r="BT73" s="60">
        <v>46038</v>
      </c>
      <c r="BU73" s="85">
        <v>4500404343</v>
      </c>
      <c r="BV73" s="62">
        <v>46041</v>
      </c>
      <c r="BW73" s="60">
        <v>46043</v>
      </c>
      <c r="BX73" s="60">
        <v>46043</v>
      </c>
      <c r="BY73" s="64"/>
      <c r="BZ73" s="64"/>
      <c r="CA73" s="64"/>
      <c r="CB73" s="64"/>
      <c r="CC73" s="64"/>
      <c r="CD73" s="64"/>
      <c r="CE73" s="97" t="s">
        <v>1046</v>
      </c>
      <c r="CF73" s="125" t="s">
        <v>1047</v>
      </c>
      <c r="CG73" s="230" t="s">
        <v>1048</v>
      </c>
      <c r="CH73" s="127">
        <v>3102968549</v>
      </c>
      <c r="CI73" s="426" t="s">
        <v>131</v>
      </c>
      <c r="CJ73" s="140">
        <v>9</v>
      </c>
      <c r="CK73" s="140">
        <v>5</v>
      </c>
      <c r="CL73" s="140">
        <v>1993</v>
      </c>
      <c r="CM73" s="140">
        <f t="shared" ref="CM73:CM74" si="11">2024-CL73</f>
        <v>31</v>
      </c>
    </row>
    <row r="74" spans="1:91" ht="33" customHeight="1" x14ac:dyDescent="0.25">
      <c r="A74" s="98" t="s">
        <v>91</v>
      </c>
      <c r="B74" s="99" t="s">
        <v>92</v>
      </c>
      <c r="C74" s="99" t="s">
        <v>93</v>
      </c>
      <c r="D74" s="131" t="s">
        <v>94</v>
      </c>
      <c r="E74" s="100" t="s">
        <v>95</v>
      </c>
      <c r="F74" s="101" t="s">
        <v>96</v>
      </c>
      <c r="G74" s="102" t="s">
        <v>97</v>
      </c>
      <c r="H74" s="88" t="s">
        <v>111</v>
      </c>
      <c r="I74" s="27" t="s">
        <v>281</v>
      </c>
      <c r="J74" s="99" t="s">
        <v>93</v>
      </c>
      <c r="K74" s="100" t="s">
        <v>95</v>
      </c>
      <c r="L74" s="26" t="s">
        <v>100</v>
      </c>
      <c r="M74" s="27" t="s">
        <v>99</v>
      </c>
      <c r="N74" s="103"/>
      <c r="O74" s="103"/>
      <c r="P74" s="104" t="s">
        <v>150</v>
      </c>
      <c r="Q74" s="104"/>
      <c r="R74" s="232"/>
      <c r="S74" s="233"/>
      <c r="T74" s="234"/>
      <c r="U74" s="108" t="s">
        <v>102</v>
      </c>
      <c r="V74" s="33">
        <v>3700028004</v>
      </c>
      <c r="W74" s="34">
        <v>46027</v>
      </c>
      <c r="X74" s="35">
        <v>1531992000</v>
      </c>
      <c r="Y74" s="31" t="s">
        <v>103</v>
      </c>
      <c r="Z74" s="427" t="s">
        <v>104</v>
      </c>
      <c r="AA74" s="37">
        <v>20115</v>
      </c>
      <c r="AB74" s="38">
        <v>83619</v>
      </c>
      <c r="AC74" s="39" t="s">
        <v>106</v>
      </c>
      <c r="AD74" s="76" t="s">
        <v>107</v>
      </c>
      <c r="AE74" s="91" t="s">
        <v>576</v>
      </c>
      <c r="AF74" s="37" t="s">
        <v>102</v>
      </c>
      <c r="AG74" s="37"/>
      <c r="AH74" s="33" t="s">
        <v>1049</v>
      </c>
      <c r="AI74" s="37" t="s">
        <v>1050</v>
      </c>
      <c r="AJ74" s="212" t="s">
        <v>1051</v>
      </c>
      <c r="AK74" s="132" t="s">
        <v>1052</v>
      </c>
      <c r="AL74" s="235" t="s">
        <v>581</v>
      </c>
      <c r="AM74" s="409"/>
      <c r="AN74" s="45" t="s">
        <v>113</v>
      </c>
      <c r="AO74" s="102" t="s">
        <v>1053</v>
      </c>
      <c r="AP74" s="102" t="s">
        <v>1054</v>
      </c>
      <c r="AQ74" s="175" t="s">
        <v>260</v>
      </c>
      <c r="AR74" s="175" t="s">
        <v>260</v>
      </c>
      <c r="AS74" s="237" t="s">
        <v>1055</v>
      </c>
      <c r="AT74" s="104" t="s">
        <v>226</v>
      </c>
      <c r="AU74" s="212" t="s">
        <v>1056</v>
      </c>
      <c r="AV74" s="102" t="s">
        <v>1057</v>
      </c>
      <c r="AW74" s="52" t="s">
        <v>122</v>
      </c>
      <c r="AX74" s="21" t="s">
        <v>229</v>
      </c>
      <c r="AY74" s="54">
        <f t="shared" si="0"/>
        <v>33978000</v>
      </c>
      <c r="AZ74" s="238"/>
      <c r="BA74" s="238"/>
      <c r="BB74" s="238"/>
      <c r="BC74" s="238"/>
      <c r="BD74" s="33" t="s">
        <v>124</v>
      </c>
      <c r="BE74" s="33">
        <v>6</v>
      </c>
      <c r="BF74" s="52" t="s">
        <v>230</v>
      </c>
      <c r="BG74" s="56">
        <v>5663000</v>
      </c>
      <c r="BH74" s="118"/>
      <c r="BI74" s="118"/>
      <c r="BJ74" s="118"/>
      <c r="BK74" s="118"/>
      <c r="BL74" s="118"/>
      <c r="BM74" s="119"/>
      <c r="BN74" s="120" t="s">
        <v>93</v>
      </c>
      <c r="BO74" s="99" t="s">
        <v>95</v>
      </c>
      <c r="BP74" s="31">
        <v>29180813</v>
      </c>
      <c r="BQ74" s="39"/>
      <c r="BR74" s="21" t="s">
        <v>126</v>
      </c>
      <c r="BS74" s="59" t="s">
        <v>127</v>
      </c>
      <c r="BT74" s="60">
        <v>46038</v>
      </c>
      <c r="BU74" s="85">
        <v>4500402819</v>
      </c>
      <c r="BV74" s="62">
        <v>46038</v>
      </c>
      <c r="BW74" s="60">
        <v>46038</v>
      </c>
      <c r="BX74" s="60">
        <v>46038</v>
      </c>
      <c r="BY74" s="428"/>
      <c r="BZ74" s="428"/>
      <c r="CA74" s="428"/>
      <c r="CB74" s="428"/>
      <c r="CC74" s="428"/>
      <c r="CD74" s="428"/>
      <c r="CE74" s="429" t="s">
        <v>1058</v>
      </c>
      <c r="CF74" s="37" t="s">
        <v>1059</v>
      </c>
      <c r="CG74" s="239" t="s">
        <v>1060</v>
      </c>
      <c r="CH74" s="37">
        <v>3154966471</v>
      </c>
      <c r="CI74" s="139" t="s">
        <v>131</v>
      </c>
      <c r="CJ74" s="239"/>
      <c r="CK74" s="239"/>
      <c r="CL74" s="239"/>
      <c r="CM74" s="140">
        <f t="shared" si="11"/>
        <v>2024</v>
      </c>
    </row>
    <row r="75" spans="1:91" ht="33" customHeight="1" x14ac:dyDescent="0.25">
      <c r="A75" s="153" t="s">
        <v>91</v>
      </c>
      <c r="B75" s="154" t="s">
        <v>92</v>
      </c>
      <c r="C75" s="154" t="s">
        <v>93</v>
      </c>
      <c r="D75" s="170" t="s">
        <v>94</v>
      </c>
      <c r="E75" s="156" t="s">
        <v>95</v>
      </c>
      <c r="F75" s="157" t="s">
        <v>96</v>
      </c>
      <c r="G75" s="83" t="s">
        <v>97</v>
      </c>
      <c r="H75" s="88" t="s">
        <v>111</v>
      </c>
      <c r="I75" s="27" t="s">
        <v>281</v>
      </c>
      <c r="J75" s="49" t="s">
        <v>323</v>
      </c>
      <c r="K75" s="49" t="s">
        <v>1061</v>
      </c>
      <c r="L75" s="26" t="s">
        <v>100</v>
      </c>
      <c r="M75" s="27" t="s">
        <v>99</v>
      </c>
      <c r="N75" s="103"/>
      <c r="O75" s="103"/>
      <c r="P75" s="104" t="s">
        <v>150</v>
      </c>
      <c r="Q75" s="49"/>
      <c r="R75" s="105"/>
      <c r="S75" s="74"/>
      <c r="T75" s="300"/>
      <c r="U75" s="80" t="s">
        <v>102</v>
      </c>
      <c r="V75" s="33">
        <v>3700028004</v>
      </c>
      <c r="W75" s="34">
        <v>46027</v>
      </c>
      <c r="X75" s="35">
        <v>1531992000</v>
      </c>
      <c r="Y75" s="31" t="s">
        <v>103</v>
      </c>
      <c r="Z75" s="427" t="s">
        <v>104</v>
      </c>
      <c r="AA75" s="37">
        <v>20115</v>
      </c>
      <c r="AB75" s="169" t="s">
        <v>105</v>
      </c>
      <c r="AC75" s="170" t="s">
        <v>106</v>
      </c>
      <c r="AD75" s="77" t="s">
        <v>107</v>
      </c>
      <c r="AE75" s="320" t="s">
        <v>801</v>
      </c>
      <c r="AF75" s="116" t="s">
        <v>102</v>
      </c>
      <c r="AG75" s="116"/>
      <c r="AH75" s="33" t="s">
        <v>1062</v>
      </c>
      <c r="AI75" s="37" t="s">
        <v>1063</v>
      </c>
      <c r="AJ75" s="255" t="s">
        <v>1064</v>
      </c>
      <c r="AK75" s="203" t="s">
        <v>1065</v>
      </c>
      <c r="AL75" s="317"/>
      <c r="AM75" s="409"/>
      <c r="AN75" s="419" t="s">
        <v>113</v>
      </c>
      <c r="AO75" s="46" t="s">
        <v>568</v>
      </c>
      <c r="AP75" s="49" t="s">
        <v>1066</v>
      </c>
      <c r="AQ75" s="112" t="s">
        <v>116</v>
      </c>
      <c r="AR75" s="410" t="s">
        <v>1067</v>
      </c>
      <c r="AS75" s="156" t="s">
        <v>1068</v>
      </c>
      <c r="AT75" s="104" t="s">
        <v>226</v>
      </c>
      <c r="AU75" s="83" t="s">
        <v>1069</v>
      </c>
      <c r="AV75" s="102" t="s">
        <v>1022</v>
      </c>
      <c r="AW75" s="52" t="s">
        <v>398</v>
      </c>
      <c r="AX75" s="21" t="s">
        <v>414</v>
      </c>
      <c r="AY75" s="54">
        <f t="shared" si="0"/>
        <v>22652000</v>
      </c>
      <c r="AZ75" s="117"/>
      <c r="BA75" s="117"/>
      <c r="BB75" s="117"/>
      <c r="BC75" s="117"/>
      <c r="BD75" s="33" t="s">
        <v>400</v>
      </c>
      <c r="BE75" s="33">
        <v>4</v>
      </c>
      <c r="BF75" s="52" t="s">
        <v>230</v>
      </c>
      <c r="BG75" s="56">
        <v>5663000</v>
      </c>
      <c r="BH75" s="117"/>
      <c r="BI75" s="117"/>
      <c r="BJ75" s="117"/>
      <c r="BK75" s="117"/>
      <c r="BL75" s="117"/>
      <c r="BM75" s="117"/>
      <c r="BN75" s="49" t="s">
        <v>323</v>
      </c>
      <c r="BO75" s="49" t="s">
        <v>1061</v>
      </c>
      <c r="BP75" s="32">
        <v>31907790</v>
      </c>
      <c r="BQ75" s="170"/>
      <c r="BR75" s="21" t="s">
        <v>126</v>
      </c>
      <c r="BS75" s="59" t="s">
        <v>127</v>
      </c>
      <c r="BT75" s="60">
        <v>46031</v>
      </c>
      <c r="BU75" s="85">
        <v>4500401084</v>
      </c>
      <c r="BV75" s="62">
        <v>46036</v>
      </c>
      <c r="BW75" s="60">
        <v>46036</v>
      </c>
      <c r="BX75" s="60">
        <v>46036</v>
      </c>
      <c r="BY75" s="64"/>
      <c r="BZ75" s="64"/>
      <c r="CA75" s="64"/>
      <c r="CB75" s="64"/>
      <c r="CC75" s="64"/>
      <c r="CD75" s="64"/>
      <c r="CE75" s="97" t="s">
        <v>1070</v>
      </c>
      <c r="CF75" s="125" t="s">
        <v>1071</v>
      </c>
      <c r="CG75" s="412"/>
      <c r="CH75" s="127">
        <v>3026608686</v>
      </c>
      <c r="CI75" s="430"/>
      <c r="CJ75" s="414"/>
      <c r="CK75" s="323"/>
      <c r="CL75" s="201"/>
      <c r="CM75" s="182">
        <v>19</v>
      </c>
    </row>
    <row r="76" spans="1:91" ht="46.5" customHeight="1" x14ac:dyDescent="0.25">
      <c r="A76" s="431" t="s">
        <v>91</v>
      </c>
      <c r="B76" s="432" t="s">
        <v>92</v>
      </c>
      <c r="C76" s="432" t="s">
        <v>93</v>
      </c>
      <c r="D76" s="433" t="s">
        <v>94</v>
      </c>
      <c r="E76" s="434" t="s">
        <v>95</v>
      </c>
      <c r="F76" s="435" t="s">
        <v>96</v>
      </c>
      <c r="G76" s="436" t="s">
        <v>97</v>
      </c>
      <c r="H76" s="88" t="s">
        <v>111</v>
      </c>
      <c r="I76" s="27" t="s">
        <v>281</v>
      </c>
      <c r="J76" s="83" t="s">
        <v>323</v>
      </c>
      <c r="K76" s="437" t="s">
        <v>1061</v>
      </c>
      <c r="L76" s="26" t="s">
        <v>100</v>
      </c>
      <c r="M76" s="27" t="s">
        <v>99</v>
      </c>
      <c r="N76" s="438"/>
      <c r="O76" s="438"/>
      <c r="P76" s="438" t="s">
        <v>150</v>
      </c>
      <c r="Q76" s="436"/>
      <c r="R76" s="439"/>
      <c r="S76" s="440"/>
      <c r="T76" s="441"/>
      <c r="U76" s="442" t="s">
        <v>102</v>
      </c>
      <c r="V76" s="33">
        <v>3700028004</v>
      </c>
      <c r="W76" s="34">
        <v>46027</v>
      </c>
      <c r="X76" s="35">
        <v>1531992000</v>
      </c>
      <c r="Y76" s="31" t="s">
        <v>103</v>
      </c>
      <c r="Z76" s="443" t="s">
        <v>217</v>
      </c>
      <c r="AA76" s="37">
        <v>20115</v>
      </c>
      <c r="AB76" s="444" t="s">
        <v>234</v>
      </c>
      <c r="AC76" s="445" t="s">
        <v>251</v>
      </c>
      <c r="AD76" s="446" t="s">
        <v>252</v>
      </c>
      <c r="AE76" s="447" t="s">
        <v>253</v>
      </c>
      <c r="AF76" s="448"/>
      <c r="AG76" s="448" t="s">
        <v>102</v>
      </c>
      <c r="AH76" s="33" t="s">
        <v>1072</v>
      </c>
      <c r="AI76" s="37" t="s">
        <v>1073</v>
      </c>
      <c r="AJ76" s="212" t="s">
        <v>1074</v>
      </c>
      <c r="AK76" s="43">
        <v>1144086084</v>
      </c>
      <c r="AL76" s="44"/>
      <c r="AM76" s="409"/>
      <c r="AN76" s="45" t="s">
        <v>113</v>
      </c>
      <c r="AO76" s="46" t="s">
        <v>1075</v>
      </c>
      <c r="AP76" s="49" t="s">
        <v>1076</v>
      </c>
      <c r="AQ76" s="143" t="s">
        <v>260</v>
      </c>
      <c r="AR76" s="143" t="s">
        <v>260</v>
      </c>
      <c r="AS76" s="94" t="s">
        <v>1077</v>
      </c>
      <c r="AT76" s="449" t="s">
        <v>262</v>
      </c>
      <c r="AU76" s="450" t="s">
        <v>925</v>
      </c>
      <c r="AV76" s="436" t="s">
        <v>614</v>
      </c>
      <c r="AW76" s="52" t="s">
        <v>398</v>
      </c>
      <c r="AX76" s="21" t="s">
        <v>399</v>
      </c>
      <c r="AY76" s="54">
        <f t="shared" si="0"/>
        <v>14204000</v>
      </c>
      <c r="AZ76" s="451"/>
      <c r="BA76" s="452"/>
      <c r="BB76" s="452"/>
      <c r="BC76" s="452"/>
      <c r="BD76" s="33" t="s">
        <v>400</v>
      </c>
      <c r="BE76" s="33">
        <v>4</v>
      </c>
      <c r="BF76" s="288" t="s">
        <v>266</v>
      </c>
      <c r="BG76" s="453">
        <v>3551000</v>
      </c>
      <c r="BH76" s="454"/>
      <c r="BI76" s="454"/>
      <c r="BJ76" s="454"/>
      <c r="BK76" s="454"/>
      <c r="BL76" s="454"/>
      <c r="BM76" s="455"/>
      <c r="BN76" s="437" t="s">
        <v>323</v>
      </c>
      <c r="BO76" s="437" t="s">
        <v>1061</v>
      </c>
      <c r="BP76" s="32">
        <v>31907790</v>
      </c>
      <c r="BQ76" s="445"/>
      <c r="BR76" s="21" t="s">
        <v>126</v>
      </c>
      <c r="BS76" s="59" t="s">
        <v>127</v>
      </c>
      <c r="BT76" s="60">
        <v>46031</v>
      </c>
      <c r="BU76" s="85">
        <v>4500399460</v>
      </c>
      <c r="BV76" s="62">
        <v>46035</v>
      </c>
      <c r="BW76" s="60">
        <v>46035</v>
      </c>
      <c r="BX76" s="60">
        <v>46035</v>
      </c>
      <c r="BY76" s="64"/>
      <c r="BZ76" s="64"/>
      <c r="CA76" s="64"/>
      <c r="CB76" s="64"/>
      <c r="CC76" s="64"/>
      <c r="CD76" s="64"/>
      <c r="CE76" s="258" t="s">
        <v>1078</v>
      </c>
      <c r="CF76" s="125" t="s">
        <v>1079</v>
      </c>
      <c r="CG76" s="188" t="s">
        <v>929</v>
      </c>
      <c r="CH76" s="127">
        <v>3216413797</v>
      </c>
      <c r="CI76" s="70" t="s">
        <v>131</v>
      </c>
      <c r="CJ76" s="71">
        <v>1</v>
      </c>
      <c r="CK76" s="71">
        <v>7</v>
      </c>
      <c r="CL76" s="71">
        <v>2001</v>
      </c>
      <c r="CM76" s="71">
        <f t="shared" ref="CM76:CM78" si="12">2024-CL76</f>
        <v>23</v>
      </c>
    </row>
    <row r="77" spans="1:91" ht="34.5" customHeight="1" x14ac:dyDescent="0.25">
      <c r="A77" s="456" t="s">
        <v>91</v>
      </c>
      <c r="B77" s="25" t="s">
        <v>92</v>
      </c>
      <c r="C77" s="25" t="s">
        <v>93</v>
      </c>
      <c r="D77" s="55" t="s">
        <v>94</v>
      </c>
      <c r="E77" s="457" t="s">
        <v>95</v>
      </c>
      <c r="F77" s="24" t="s">
        <v>96</v>
      </c>
      <c r="G77" s="25" t="s">
        <v>97</v>
      </c>
      <c r="H77" s="88" t="s">
        <v>111</v>
      </c>
      <c r="I77" s="27" t="s">
        <v>281</v>
      </c>
      <c r="J77" s="51" t="s">
        <v>323</v>
      </c>
      <c r="K77" s="450" t="s">
        <v>1061</v>
      </c>
      <c r="L77" s="26" t="s">
        <v>100</v>
      </c>
      <c r="M77" s="458" t="s">
        <v>99</v>
      </c>
      <c r="N77" s="28"/>
      <c r="O77" s="28"/>
      <c r="P77" s="28" t="s">
        <v>186</v>
      </c>
      <c r="Q77" s="28" t="s">
        <v>187</v>
      </c>
      <c r="R77" s="261" t="s">
        <v>618</v>
      </c>
      <c r="S77" s="186" t="s">
        <v>619</v>
      </c>
      <c r="T77" s="89" t="s">
        <v>102</v>
      </c>
      <c r="U77" s="459"/>
      <c r="V77" s="31">
        <v>3500254255</v>
      </c>
      <c r="W77" s="34">
        <v>46027</v>
      </c>
      <c r="X77" s="460">
        <v>962010000</v>
      </c>
      <c r="Y77" s="31" t="s">
        <v>103</v>
      </c>
      <c r="Z77" s="382" t="s">
        <v>620</v>
      </c>
      <c r="AA77" s="33">
        <v>20124</v>
      </c>
      <c r="AB77" s="461" t="s">
        <v>105</v>
      </c>
      <c r="AC77" s="382" t="s">
        <v>106</v>
      </c>
      <c r="AD77" s="210" t="s">
        <v>107</v>
      </c>
      <c r="AE77" s="462" t="s">
        <v>152</v>
      </c>
      <c r="AF77" s="71" t="s">
        <v>102</v>
      </c>
      <c r="AG77" s="370"/>
      <c r="AH77" s="71" t="s">
        <v>1080</v>
      </c>
      <c r="AI77" s="71" t="s">
        <v>1081</v>
      </c>
      <c r="AJ77" s="382" t="s">
        <v>1082</v>
      </c>
      <c r="AK77" s="193">
        <v>1130648239</v>
      </c>
      <c r="AL77" s="463"/>
      <c r="AM77" s="409"/>
      <c r="AN77" s="420" t="s">
        <v>113</v>
      </c>
      <c r="AO77" s="464" t="s">
        <v>568</v>
      </c>
      <c r="AP77" s="465" t="s">
        <v>1083</v>
      </c>
      <c r="AQ77" s="466" t="s">
        <v>116</v>
      </c>
      <c r="AR77" s="467" t="s">
        <v>1084</v>
      </c>
      <c r="AS77" s="468" t="s">
        <v>1085</v>
      </c>
      <c r="AT77" s="465" t="s">
        <v>437</v>
      </c>
      <c r="AU77" s="25" t="s">
        <v>1086</v>
      </c>
      <c r="AV77" s="25" t="s">
        <v>1087</v>
      </c>
      <c r="AW77" s="52" t="s">
        <v>398</v>
      </c>
      <c r="AX77" s="468" t="s">
        <v>834</v>
      </c>
      <c r="AY77" s="54">
        <f t="shared" si="0"/>
        <v>19220000</v>
      </c>
      <c r="AZ77" s="469"/>
      <c r="BA77" s="469"/>
      <c r="BB77" s="469"/>
      <c r="BC77" s="469"/>
      <c r="BD77" s="33" t="s">
        <v>400</v>
      </c>
      <c r="BE77" s="33">
        <v>4</v>
      </c>
      <c r="BF77" s="52" t="s">
        <v>247</v>
      </c>
      <c r="BG77" s="56">
        <v>4805000</v>
      </c>
      <c r="BH77" s="470"/>
      <c r="BI77" s="470"/>
      <c r="BJ77" s="470"/>
      <c r="BK77" s="470"/>
      <c r="BL77" s="470"/>
      <c r="BM77" s="471"/>
      <c r="BN77" s="450" t="s">
        <v>323</v>
      </c>
      <c r="BO77" s="450" t="s">
        <v>1061</v>
      </c>
      <c r="BP77" s="32">
        <v>31907790</v>
      </c>
      <c r="BQ77" s="472"/>
      <c r="BR77" s="21" t="s">
        <v>126</v>
      </c>
      <c r="BS77" s="59" t="s">
        <v>127</v>
      </c>
      <c r="BT77" s="60">
        <v>46042</v>
      </c>
      <c r="BU77" s="473">
        <v>4500405039</v>
      </c>
      <c r="BV77" s="62">
        <v>46042</v>
      </c>
      <c r="BW77" s="60">
        <v>46043</v>
      </c>
      <c r="BX77" s="60">
        <v>46043</v>
      </c>
      <c r="BY77" s="474"/>
      <c r="BZ77" s="474"/>
      <c r="CA77" s="474"/>
      <c r="CB77" s="474"/>
      <c r="CC77" s="474"/>
      <c r="CD77" s="474"/>
      <c r="CE77" s="475" t="s">
        <v>1088</v>
      </c>
      <c r="CF77" s="125" t="s">
        <v>1089</v>
      </c>
      <c r="CG77" s="253"/>
      <c r="CH77" s="127">
        <v>3103967868</v>
      </c>
      <c r="CI77" s="71"/>
      <c r="CJ77" s="71"/>
      <c r="CK77" s="71"/>
      <c r="CL77" s="71"/>
      <c r="CM77" s="71">
        <f t="shared" si="12"/>
        <v>2024</v>
      </c>
    </row>
    <row r="78" spans="1:91" ht="34.5" customHeight="1" x14ac:dyDescent="0.25">
      <c r="A78" s="456" t="s">
        <v>91</v>
      </c>
      <c r="B78" s="25" t="s">
        <v>92</v>
      </c>
      <c r="C78" s="25" t="s">
        <v>93</v>
      </c>
      <c r="D78" s="55" t="s">
        <v>94</v>
      </c>
      <c r="E78" s="457" t="s">
        <v>95</v>
      </c>
      <c r="F78" s="24" t="s">
        <v>96</v>
      </c>
      <c r="G78" s="25" t="s">
        <v>97</v>
      </c>
      <c r="H78" s="88" t="s">
        <v>111</v>
      </c>
      <c r="I78" s="27" t="s">
        <v>281</v>
      </c>
      <c r="J78" s="51" t="s">
        <v>323</v>
      </c>
      <c r="K78" s="450" t="s">
        <v>1061</v>
      </c>
      <c r="L78" s="26" t="s">
        <v>100</v>
      </c>
      <c r="M78" s="458" t="s">
        <v>99</v>
      </c>
      <c r="N78" s="438"/>
      <c r="O78" s="438"/>
      <c r="P78" s="438" t="s">
        <v>150</v>
      </c>
      <c r="Q78" s="28"/>
      <c r="R78" s="362"/>
      <c r="S78" s="476"/>
      <c r="T78" s="477"/>
      <c r="U78" s="478" t="s">
        <v>102</v>
      </c>
      <c r="V78" s="479">
        <v>3700028326</v>
      </c>
      <c r="W78" s="480">
        <v>46030</v>
      </c>
      <c r="X78" s="481" t="s">
        <v>1090</v>
      </c>
      <c r="Y78" s="480">
        <v>46387</v>
      </c>
      <c r="Z78" s="332" t="s">
        <v>217</v>
      </c>
      <c r="AA78" s="482">
        <v>20115</v>
      </c>
      <c r="AB78" s="461" t="s">
        <v>105</v>
      </c>
      <c r="AC78" s="472"/>
      <c r="AD78" s="29" t="s">
        <v>252</v>
      </c>
      <c r="AE78" s="447" t="s">
        <v>253</v>
      </c>
      <c r="AF78" s="448"/>
      <c r="AG78" s="448" t="s">
        <v>102</v>
      </c>
      <c r="AH78" s="71" t="s">
        <v>1091</v>
      </c>
      <c r="AI78" s="71" t="s">
        <v>1092</v>
      </c>
      <c r="AJ78" s="382" t="s">
        <v>1093</v>
      </c>
      <c r="AK78" s="193">
        <v>1006168734</v>
      </c>
      <c r="AL78" s="483"/>
      <c r="AM78" s="409"/>
      <c r="AN78" s="45" t="s">
        <v>373</v>
      </c>
      <c r="AO78" s="46" t="s">
        <v>947</v>
      </c>
      <c r="AP78" s="46" t="s">
        <v>1094</v>
      </c>
      <c r="AQ78" s="143" t="s">
        <v>260</v>
      </c>
      <c r="AR78" s="143" t="s">
        <v>260</v>
      </c>
      <c r="AS78" s="484" t="s">
        <v>1095</v>
      </c>
      <c r="AT78" s="449" t="s">
        <v>262</v>
      </c>
      <c r="AU78" s="485" t="s">
        <v>1096</v>
      </c>
      <c r="AV78" s="432" t="s">
        <v>1097</v>
      </c>
      <c r="AW78" s="52" t="s">
        <v>398</v>
      </c>
      <c r="AX78" s="21" t="s">
        <v>1098</v>
      </c>
      <c r="AY78" s="54">
        <f>BG78*3+BM78</f>
        <v>12428500</v>
      </c>
      <c r="AZ78" s="486"/>
      <c r="BA78" s="486"/>
      <c r="BB78" s="477"/>
      <c r="BC78" s="477"/>
      <c r="BD78" s="33" t="s">
        <v>400</v>
      </c>
      <c r="BE78" s="33">
        <v>4</v>
      </c>
      <c r="BF78" s="288" t="s">
        <v>1099</v>
      </c>
      <c r="BG78" s="453">
        <v>3551000</v>
      </c>
      <c r="BH78" s="487"/>
      <c r="BI78" s="487"/>
      <c r="BJ78" s="487"/>
      <c r="BK78" s="487"/>
      <c r="BL78" s="487" t="s">
        <v>1100</v>
      </c>
      <c r="BM78" s="488">
        <f>BG78/2</f>
        <v>1775500</v>
      </c>
      <c r="BN78" s="450" t="s">
        <v>323</v>
      </c>
      <c r="BO78" s="450" t="s">
        <v>1061</v>
      </c>
      <c r="BP78" s="32">
        <v>31907790</v>
      </c>
      <c r="BQ78" s="472"/>
      <c r="BR78" s="21" t="s">
        <v>126</v>
      </c>
      <c r="BS78" s="59" t="s">
        <v>1101</v>
      </c>
      <c r="BT78" s="60">
        <v>46045</v>
      </c>
      <c r="BU78" s="473">
        <v>4500407110</v>
      </c>
      <c r="BV78" s="62">
        <v>46048</v>
      </c>
      <c r="BW78" s="60">
        <v>46048</v>
      </c>
      <c r="BX78" s="60">
        <v>46048</v>
      </c>
      <c r="BY78" s="474"/>
      <c r="BZ78" s="474"/>
      <c r="CA78" s="474"/>
      <c r="CB78" s="474"/>
      <c r="CC78" s="474"/>
      <c r="CD78" s="474"/>
      <c r="CE78" s="475" t="s">
        <v>1102</v>
      </c>
      <c r="CF78" s="229" t="s">
        <v>1103</v>
      </c>
      <c r="CG78" s="55"/>
      <c r="CH78" s="127">
        <v>3225789648</v>
      </c>
      <c r="CI78" s="71"/>
      <c r="CJ78" s="71"/>
      <c r="CK78" s="71"/>
      <c r="CL78" s="71"/>
      <c r="CM78" s="71">
        <f t="shared" si="12"/>
        <v>2024</v>
      </c>
    </row>
    <row r="79" spans="1:91" ht="34.5" customHeight="1" x14ac:dyDescent="0.25">
      <c r="A79" s="489" t="s">
        <v>91</v>
      </c>
      <c r="B79" s="490" t="s">
        <v>92</v>
      </c>
      <c r="C79" s="491" t="s">
        <v>93</v>
      </c>
      <c r="D79" s="492" t="s">
        <v>94</v>
      </c>
      <c r="E79" s="493" t="s">
        <v>95</v>
      </c>
      <c r="F79" s="494" t="s">
        <v>96</v>
      </c>
      <c r="G79" s="495" t="s">
        <v>873</v>
      </c>
      <c r="H79" s="496" t="s">
        <v>111</v>
      </c>
      <c r="I79" s="497" t="s">
        <v>281</v>
      </c>
      <c r="J79" s="498" t="s">
        <v>134</v>
      </c>
      <c r="K79" s="499" t="s">
        <v>281</v>
      </c>
      <c r="L79" s="500" t="s">
        <v>173</v>
      </c>
      <c r="M79" s="501" t="s">
        <v>1104</v>
      </c>
      <c r="N79" s="502"/>
      <c r="O79" s="502"/>
      <c r="P79" s="503" t="s">
        <v>150</v>
      </c>
      <c r="Q79" s="504"/>
      <c r="R79" s="504"/>
      <c r="S79" s="504"/>
      <c r="T79" s="504"/>
      <c r="U79" s="505" t="s">
        <v>769</v>
      </c>
      <c r="V79" s="506">
        <v>3700028004</v>
      </c>
      <c r="W79" s="507">
        <v>46027</v>
      </c>
      <c r="X79" s="508" t="s">
        <v>1105</v>
      </c>
      <c r="Y79" s="507">
        <v>46387</v>
      </c>
      <c r="Z79" s="509" t="s">
        <v>104</v>
      </c>
      <c r="AA79" s="510">
        <v>20115</v>
      </c>
      <c r="AB79" s="511" t="s">
        <v>105</v>
      </c>
      <c r="AC79" s="512"/>
      <c r="AD79" s="504" t="s">
        <v>107</v>
      </c>
      <c r="AE79" s="513" t="s">
        <v>1106</v>
      </c>
      <c r="AF79" s="505" t="s">
        <v>102</v>
      </c>
      <c r="AG79" s="505"/>
      <c r="AH79" s="505" t="s">
        <v>1107</v>
      </c>
      <c r="AI79" s="505" t="s">
        <v>1108</v>
      </c>
      <c r="AJ79" s="514" t="s">
        <v>1109</v>
      </c>
      <c r="AK79" s="515" t="s">
        <v>1110</v>
      </c>
      <c r="AL79" s="516" t="s">
        <v>1111</v>
      </c>
      <c r="AM79" s="517"/>
      <c r="AN79" s="518" t="s">
        <v>113</v>
      </c>
      <c r="AO79" s="519"/>
      <c r="AP79" s="520"/>
      <c r="AQ79" s="521"/>
      <c r="AR79" s="522"/>
      <c r="AS79" s="523"/>
      <c r="AT79" s="524"/>
      <c r="AU79" s="525" t="s">
        <v>1112</v>
      </c>
      <c r="AV79" s="489"/>
      <c r="AW79" s="526" t="s">
        <v>122</v>
      </c>
      <c r="AX79" s="527" t="s">
        <v>380</v>
      </c>
      <c r="AY79" s="528">
        <v>74208000</v>
      </c>
      <c r="AZ79" s="529" t="s">
        <v>381</v>
      </c>
      <c r="BA79" s="530" t="s">
        <v>1113</v>
      </c>
      <c r="BB79" s="531" t="s">
        <v>1114</v>
      </c>
      <c r="BC79" s="532" t="s">
        <v>1115</v>
      </c>
      <c r="BD79" s="505" t="s">
        <v>124</v>
      </c>
      <c r="BE79" s="505">
        <v>6</v>
      </c>
      <c r="BF79" s="533" t="s">
        <v>1116</v>
      </c>
      <c r="BG79" s="534" t="s">
        <v>1117</v>
      </c>
      <c r="BH79" s="532"/>
      <c r="BI79" s="532"/>
      <c r="BJ79" s="532"/>
      <c r="BK79" s="532"/>
      <c r="BL79" s="532" t="s">
        <v>1118</v>
      </c>
      <c r="BM79" s="532" t="s">
        <v>1119</v>
      </c>
      <c r="BN79" s="498" t="s">
        <v>323</v>
      </c>
      <c r="BO79" s="535" t="s">
        <v>1061</v>
      </c>
      <c r="BP79" s="536">
        <v>31907790</v>
      </c>
      <c r="BQ79" s="504"/>
      <c r="BR79" s="537" t="s">
        <v>126</v>
      </c>
      <c r="BS79" s="538" t="s">
        <v>1120</v>
      </c>
      <c r="BT79" s="539">
        <v>46042</v>
      </c>
      <c r="BU79" s="540">
        <v>4500405043</v>
      </c>
      <c r="BV79" s="539">
        <v>46042</v>
      </c>
      <c r="BW79" s="539">
        <v>46042</v>
      </c>
      <c r="BX79" s="539">
        <v>46042</v>
      </c>
      <c r="BY79" s="513"/>
      <c r="BZ79" s="513"/>
      <c r="CA79" s="513"/>
      <c r="CB79" s="513"/>
      <c r="CC79" s="513"/>
      <c r="CD79" s="513"/>
      <c r="CE79" s="541" t="s">
        <v>1121</v>
      </c>
      <c r="CF79" s="542" t="s">
        <v>1122</v>
      </c>
      <c r="CG79" s="513" t="s">
        <v>1123</v>
      </c>
      <c r="CH79" s="543" t="s">
        <v>1124</v>
      </c>
      <c r="CI79" s="505"/>
      <c r="CJ79" s="505"/>
      <c r="CK79" s="505"/>
      <c r="CL79" s="505"/>
      <c r="CM79" s="504"/>
    </row>
    <row r="80" spans="1:91" ht="28.5" customHeight="1" x14ac:dyDescent="0.25">
      <c r="A80" s="544" t="s">
        <v>91</v>
      </c>
      <c r="B80" s="490" t="s">
        <v>92</v>
      </c>
      <c r="C80" s="491" t="s">
        <v>93</v>
      </c>
      <c r="D80" s="492" t="s">
        <v>94</v>
      </c>
      <c r="E80" s="493" t="s">
        <v>95</v>
      </c>
      <c r="F80" s="494" t="s">
        <v>96</v>
      </c>
      <c r="G80" s="495" t="s">
        <v>873</v>
      </c>
      <c r="H80" s="498" t="s">
        <v>134</v>
      </c>
      <c r="I80" s="499" t="s">
        <v>281</v>
      </c>
      <c r="J80" s="498" t="s">
        <v>323</v>
      </c>
      <c r="K80" s="535" t="s">
        <v>1061</v>
      </c>
      <c r="L80" s="545" t="s">
        <v>1125</v>
      </c>
      <c r="M80" s="546" t="s">
        <v>1126</v>
      </c>
      <c r="N80" s="547"/>
      <c r="O80" s="547"/>
      <c r="P80" s="548" t="s">
        <v>150</v>
      </c>
      <c r="Q80" s="549"/>
      <c r="R80" s="550"/>
      <c r="S80" s="551"/>
      <c r="T80" s="549" t="s">
        <v>102</v>
      </c>
      <c r="U80" s="552"/>
      <c r="V80" s="553">
        <v>3700028848</v>
      </c>
      <c r="W80" s="507">
        <v>46048</v>
      </c>
      <c r="X80" s="554" t="s">
        <v>1127</v>
      </c>
      <c r="Y80" s="507">
        <v>46387</v>
      </c>
      <c r="Z80" s="550" t="s">
        <v>104</v>
      </c>
      <c r="AA80" s="552">
        <v>20911</v>
      </c>
      <c r="AB80" s="511" t="s">
        <v>105</v>
      </c>
      <c r="AC80" s="555"/>
      <c r="AD80" s="556" t="s">
        <v>107</v>
      </c>
      <c r="AE80" s="513" t="s">
        <v>1106</v>
      </c>
      <c r="AF80" s="557" t="s">
        <v>102</v>
      </c>
      <c r="AG80" s="557"/>
      <c r="AH80" s="505" t="s">
        <v>1128</v>
      </c>
      <c r="AI80" s="505" t="s">
        <v>1129</v>
      </c>
      <c r="AJ80" s="558" t="s">
        <v>1130</v>
      </c>
      <c r="AK80" s="559" t="s">
        <v>1131</v>
      </c>
      <c r="AL80" s="560"/>
      <c r="AM80" s="558"/>
      <c r="AN80" s="518" t="s">
        <v>113</v>
      </c>
      <c r="AO80" s="561"/>
      <c r="AP80" s="562"/>
      <c r="AQ80" s="563"/>
      <c r="AR80" s="564"/>
      <c r="AS80" s="565"/>
      <c r="AT80" s="564"/>
      <c r="AU80" s="566" t="s">
        <v>1132</v>
      </c>
      <c r="AV80" s="537"/>
      <c r="AW80" s="549"/>
      <c r="AX80" s="567" t="s">
        <v>1133</v>
      </c>
      <c r="AY80" s="568">
        <v>258274553</v>
      </c>
      <c r="AZ80" s="569" t="s">
        <v>1134</v>
      </c>
      <c r="BA80" s="570">
        <f>AY80/1.19</f>
        <v>217037439.49579832</v>
      </c>
      <c r="BB80" s="571" t="s">
        <v>1135</v>
      </c>
      <c r="BC80" s="572">
        <f>BA80*19%</f>
        <v>41237113.50420168</v>
      </c>
      <c r="BD80" s="557" t="s">
        <v>1136</v>
      </c>
      <c r="BE80" s="557">
        <v>2</v>
      </c>
      <c r="BF80" s="573" t="s">
        <v>1137</v>
      </c>
      <c r="BG80" s="574">
        <v>129137276</v>
      </c>
      <c r="BH80" s="574"/>
      <c r="BI80" s="574"/>
      <c r="BJ80" s="574"/>
      <c r="BK80" s="574"/>
      <c r="BL80" s="574">
        <f>BG80/1.19</f>
        <v>108518719.3277311</v>
      </c>
      <c r="BM80" s="574">
        <f>BL80*19%</f>
        <v>20618556.672268908</v>
      </c>
      <c r="BN80" s="498" t="s">
        <v>323</v>
      </c>
      <c r="BO80" s="535" t="s">
        <v>1061</v>
      </c>
      <c r="BP80" s="536">
        <v>31907790</v>
      </c>
      <c r="BQ80" s="549"/>
      <c r="BR80" s="537" t="s">
        <v>126</v>
      </c>
      <c r="BS80" s="538" t="s">
        <v>127</v>
      </c>
      <c r="BT80" s="539">
        <v>46048</v>
      </c>
      <c r="BU80" s="575">
        <v>4500407170</v>
      </c>
      <c r="BV80" s="539">
        <v>46048</v>
      </c>
      <c r="BW80" s="539">
        <v>46048</v>
      </c>
      <c r="BX80" s="539">
        <v>46048</v>
      </c>
      <c r="BY80" s="576"/>
      <c r="BZ80" s="576"/>
      <c r="CA80" s="576"/>
      <c r="CB80" s="576"/>
      <c r="CC80" s="576"/>
      <c r="CD80" s="576"/>
      <c r="CE80" s="577" t="s">
        <v>1138</v>
      </c>
      <c r="CF80" s="557" t="s">
        <v>1139</v>
      </c>
      <c r="CG80" s="555" t="s">
        <v>1140</v>
      </c>
      <c r="CH80" s="557" t="s">
        <v>1141</v>
      </c>
      <c r="CI80" s="552"/>
      <c r="CJ80" s="552"/>
      <c r="CK80" s="552"/>
      <c r="CL80" s="552"/>
      <c r="CM80" s="549"/>
    </row>
    <row r="81" spans="1:91" ht="31.5" customHeight="1" x14ac:dyDescent="0.3">
      <c r="A81" s="20" t="s">
        <v>91</v>
      </c>
      <c r="B81" s="578" t="s">
        <v>92</v>
      </c>
      <c r="C81" s="579" t="s">
        <v>93</v>
      </c>
      <c r="D81" s="580" t="s">
        <v>94</v>
      </c>
      <c r="E81" s="581" t="s">
        <v>95</v>
      </c>
      <c r="F81" s="582" t="s">
        <v>96</v>
      </c>
      <c r="G81" s="583" t="s">
        <v>873</v>
      </c>
      <c r="H81" s="83" t="s">
        <v>134</v>
      </c>
      <c r="I81" s="584" t="s">
        <v>281</v>
      </c>
      <c r="J81" s="83" t="s">
        <v>323</v>
      </c>
      <c r="K81" s="437" t="s">
        <v>1061</v>
      </c>
      <c r="L81" s="585" t="s">
        <v>1142</v>
      </c>
      <c r="M81" s="231" t="s">
        <v>1126</v>
      </c>
      <c r="N81" s="586"/>
      <c r="O81" s="586"/>
      <c r="P81" s="587" t="s">
        <v>150</v>
      </c>
      <c r="Q81" s="55"/>
      <c r="R81" s="212"/>
      <c r="S81" s="218"/>
      <c r="T81" s="55"/>
      <c r="U81" s="71" t="s">
        <v>102</v>
      </c>
      <c r="V81" s="588">
        <v>3700028004</v>
      </c>
      <c r="W81" s="589">
        <v>46027</v>
      </c>
      <c r="X81" s="590" t="s">
        <v>1105</v>
      </c>
      <c r="Y81" s="591">
        <v>46387</v>
      </c>
      <c r="Z81" s="592" t="s">
        <v>104</v>
      </c>
      <c r="AA81" s="201">
        <v>20115</v>
      </c>
      <c r="AB81" s="593" t="s">
        <v>105</v>
      </c>
      <c r="AC81" s="39"/>
      <c r="AD81" s="319" t="s">
        <v>107</v>
      </c>
      <c r="AE81" s="320" t="s">
        <v>801</v>
      </c>
      <c r="AF81" s="33" t="s">
        <v>102</v>
      </c>
      <c r="AG81" s="33"/>
      <c r="AH81" s="588" t="s">
        <v>1143</v>
      </c>
      <c r="AI81" s="182" t="s">
        <v>1144</v>
      </c>
      <c r="AJ81" s="286" t="s">
        <v>1145</v>
      </c>
      <c r="AK81" s="31" t="s">
        <v>1146</v>
      </c>
      <c r="AL81" s="213"/>
      <c r="AM81" s="409"/>
      <c r="AN81" s="594" t="s">
        <v>373</v>
      </c>
      <c r="AO81" s="214" t="s">
        <v>1029</v>
      </c>
      <c r="AP81" s="46" t="s">
        <v>1147</v>
      </c>
      <c r="AQ81" s="47" t="s">
        <v>116</v>
      </c>
      <c r="AR81" s="421" t="s">
        <v>1148</v>
      </c>
      <c r="AS81" s="154" t="s">
        <v>1149</v>
      </c>
      <c r="AT81" s="244" t="s">
        <v>179</v>
      </c>
      <c r="AU81" s="595" t="s">
        <v>1150</v>
      </c>
      <c r="AV81" s="21" t="s">
        <v>1151</v>
      </c>
      <c r="AW81" s="52" t="s">
        <v>398</v>
      </c>
      <c r="AX81" s="99" t="s">
        <v>1152</v>
      </c>
      <c r="AY81" s="54">
        <f>BM81+BG81*3</f>
        <v>21864500</v>
      </c>
      <c r="AZ81" s="55"/>
      <c r="BA81" s="55"/>
      <c r="BB81" s="55"/>
      <c r="BC81" s="55"/>
      <c r="BD81" s="300" t="s">
        <v>1153</v>
      </c>
      <c r="BE81" s="300">
        <v>4</v>
      </c>
      <c r="BF81" s="288" t="s">
        <v>1154</v>
      </c>
      <c r="BG81" s="56">
        <v>6247000</v>
      </c>
      <c r="BH81" s="596"/>
      <c r="BI81" s="596"/>
      <c r="BJ81" s="596"/>
      <c r="BK81" s="596"/>
      <c r="BL81" s="596" t="s">
        <v>1155</v>
      </c>
      <c r="BM81" s="56">
        <f>6247000/2</f>
        <v>3123500</v>
      </c>
      <c r="BN81" s="83" t="s">
        <v>323</v>
      </c>
      <c r="BO81" s="437" t="s">
        <v>1061</v>
      </c>
      <c r="BP81" s="32">
        <v>31907790</v>
      </c>
      <c r="BQ81" s="445"/>
      <c r="BR81" s="21" t="s">
        <v>126</v>
      </c>
      <c r="BS81" s="59" t="s">
        <v>127</v>
      </c>
      <c r="BT81" s="388">
        <v>46050</v>
      </c>
      <c r="BU81" s="597">
        <v>4500407847</v>
      </c>
      <c r="BV81" s="598">
        <v>46050</v>
      </c>
      <c r="BW81" s="388">
        <v>46050</v>
      </c>
      <c r="BX81" s="388">
        <v>46050</v>
      </c>
      <c r="BY81" s="22"/>
      <c r="BZ81" s="22"/>
      <c r="CA81" s="22"/>
      <c r="CB81" s="22"/>
      <c r="CC81" s="22"/>
      <c r="CD81" s="22"/>
      <c r="CE81" s="599" t="s">
        <v>1156</v>
      </c>
      <c r="CF81" s="125" t="s">
        <v>1157</v>
      </c>
      <c r="CG81" s="52"/>
      <c r="CH81" s="127">
        <v>3042063196</v>
      </c>
      <c r="CI81" s="71"/>
      <c r="CJ81" s="71"/>
      <c r="CK81" s="71"/>
      <c r="CL81" s="71"/>
      <c r="CM81" s="55"/>
    </row>
    <row r="82" spans="1:91" ht="31.5" customHeight="1" x14ac:dyDescent="0.25">
      <c r="A82" s="98" t="s">
        <v>91</v>
      </c>
      <c r="B82" s="154" t="s">
        <v>92</v>
      </c>
      <c r="C82" s="154" t="s">
        <v>93</v>
      </c>
      <c r="D82" s="22" t="s">
        <v>94</v>
      </c>
      <c r="E82" s="156" t="s">
        <v>95</v>
      </c>
      <c r="F82" s="157" t="s">
        <v>96</v>
      </c>
      <c r="G82" s="83" t="s">
        <v>97</v>
      </c>
      <c r="H82" s="88" t="s">
        <v>134</v>
      </c>
      <c r="I82" s="231" t="s">
        <v>281</v>
      </c>
      <c r="J82" s="28" t="s">
        <v>323</v>
      </c>
      <c r="K82" s="104" t="s">
        <v>324</v>
      </c>
      <c r="L82" s="585" t="s">
        <v>1142</v>
      </c>
      <c r="M82" s="231" t="s">
        <v>1126</v>
      </c>
      <c r="N82" s="160"/>
      <c r="O82" s="160"/>
      <c r="P82" s="49" t="s">
        <v>150</v>
      </c>
      <c r="Q82" s="164"/>
      <c r="R82" s="164"/>
      <c r="S82" s="164"/>
      <c r="T82" s="164"/>
      <c r="U82" s="116" t="s">
        <v>102</v>
      </c>
      <c r="V82" s="588">
        <v>3700028004</v>
      </c>
      <c r="W82" s="589">
        <v>46027</v>
      </c>
      <c r="X82" s="590" t="s">
        <v>1105</v>
      </c>
      <c r="Y82" s="591">
        <v>46387</v>
      </c>
      <c r="Z82" s="168" t="s">
        <v>217</v>
      </c>
      <c r="AA82" s="37">
        <v>20115</v>
      </c>
      <c r="AB82" s="169" t="s">
        <v>234</v>
      </c>
      <c r="AC82" s="170" t="s">
        <v>251</v>
      </c>
      <c r="AD82" s="171" t="s">
        <v>252</v>
      </c>
      <c r="AE82" s="202" t="s">
        <v>282</v>
      </c>
      <c r="AF82" s="116"/>
      <c r="AG82" s="116" t="s">
        <v>102</v>
      </c>
      <c r="AH82" s="588" t="s">
        <v>1158</v>
      </c>
      <c r="AI82" s="182" t="s">
        <v>1159</v>
      </c>
      <c r="AJ82" s="170" t="s">
        <v>1160</v>
      </c>
      <c r="AK82" s="409" t="s">
        <v>1161</v>
      </c>
      <c r="AL82" s="204"/>
      <c r="AM82" s="409"/>
      <c r="AN82" s="45" t="s">
        <v>1162</v>
      </c>
      <c r="AO82" s="331" t="s">
        <v>853</v>
      </c>
      <c r="AP82" s="361" t="s">
        <v>1163</v>
      </c>
      <c r="AQ82" s="300" t="s">
        <v>260</v>
      </c>
      <c r="AR82" s="300" t="s">
        <v>260</v>
      </c>
      <c r="AS82" s="154" t="s">
        <v>349</v>
      </c>
      <c r="AT82" s="49" t="s">
        <v>912</v>
      </c>
      <c r="AU82" s="83" t="s">
        <v>1164</v>
      </c>
      <c r="AV82" s="600" t="s">
        <v>1165</v>
      </c>
      <c r="AW82" s="52" t="s">
        <v>398</v>
      </c>
      <c r="AX82" s="295" t="s">
        <v>1166</v>
      </c>
      <c r="AY82" s="54">
        <f t="shared" ref="AY82:AY83" si="13">BG82*3+BM82</f>
        <v>7381500</v>
      </c>
      <c r="AZ82" s="116"/>
      <c r="BA82" s="116"/>
      <c r="BB82" s="117"/>
      <c r="BC82" s="117"/>
      <c r="BD82" s="300" t="s">
        <v>1153</v>
      </c>
      <c r="BE82" s="300">
        <v>4</v>
      </c>
      <c r="BF82" s="52" t="s">
        <v>1167</v>
      </c>
      <c r="BG82" s="56">
        <v>2109000</v>
      </c>
      <c r="BH82" s="601"/>
      <c r="BI82" s="601"/>
      <c r="BJ82" s="601"/>
      <c r="BK82" s="601"/>
      <c r="BL82" s="601" t="s">
        <v>1168</v>
      </c>
      <c r="BM82" s="56">
        <f>2109000/2</f>
        <v>1054500</v>
      </c>
      <c r="BN82" s="51" t="s">
        <v>323</v>
      </c>
      <c r="BO82" s="49" t="s">
        <v>324</v>
      </c>
      <c r="BP82" s="32">
        <v>31907790</v>
      </c>
      <c r="BQ82" s="170"/>
      <c r="BR82" s="21" t="s">
        <v>126</v>
      </c>
      <c r="BS82" s="59" t="s">
        <v>127</v>
      </c>
      <c r="BT82" s="60">
        <v>46050</v>
      </c>
      <c r="BU82" s="61">
        <v>4500407848</v>
      </c>
      <c r="BV82" s="62">
        <v>46050</v>
      </c>
      <c r="BW82" s="60">
        <v>46051</v>
      </c>
      <c r="BX82" s="60">
        <v>46051</v>
      </c>
      <c r="BY82" s="64"/>
      <c r="BZ82" s="64"/>
      <c r="CA82" s="64"/>
      <c r="CB82" s="64"/>
      <c r="CC82" s="64"/>
      <c r="CD82" s="64"/>
      <c r="CE82" s="97" t="s">
        <v>1169</v>
      </c>
      <c r="CF82" s="125" t="s">
        <v>1170</v>
      </c>
      <c r="CG82" s="167" t="s">
        <v>1171</v>
      </c>
      <c r="CH82" s="127">
        <v>3126365835</v>
      </c>
      <c r="CI82" s="167" t="s">
        <v>131</v>
      </c>
      <c r="CJ82" s="140">
        <v>1</v>
      </c>
      <c r="CK82" s="140">
        <v>4</v>
      </c>
      <c r="CL82" s="140">
        <v>2005</v>
      </c>
      <c r="CM82" s="71">
        <f>2025-CL82</f>
        <v>20</v>
      </c>
    </row>
    <row r="83" spans="1:91" ht="33" customHeight="1" x14ac:dyDescent="0.25">
      <c r="A83" s="295" t="s">
        <v>91</v>
      </c>
      <c r="B83" s="602" t="s">
        <v>92</v>
      </c>
      <c r="C83" s="602" t="s">
        <v>93</v>
      </c>
      <c r="D83" s="603" t="s">
        <v>94</v>
      </c>
      <c r="E83" s="604" t="s">
        <v>95</v>
      </c>
      <c r="F83" s="605" t="s">
        <v>96</v>
      </c>
      <c r="G83" s="587" t="s">
        <v>97</v>
      </c>
      <c r="H83" s="88" t="s">
        <v>134</v>
      </c>
      <c r="I83" s="231" t="s">
        <v>281</v>
      </c>
      <c r="J83" s="28" t="s">
        <v>323</v>
      </c>
      <c r="K83" s="104" t="s">
        <v>324</v>
      </c>
      <c r="L83" s="585" t="s">
        <v>1142</v>
      </c>
      <c r="M83" s="231" t="s">
        <v>1126</v>
      </c>
      <c r="N83" s="606"/>
      <c r="O83" s="606"/>
      <c r="P83" s="606" t="s">
        <v>150</v>
      </c>
      <c r="Q83" s="606"/>
      <c r="R83" s="607"/>
      <c r="S83" s="608"/>
      <c r="T83" s="588"/>
      <c r="U83" s="588" t="s">
        <v>102</v>
      </c>
      <c r="V83" s="588">
        <v>3700028876</v>
      </c>
      <c r="W83" s="589">
        <v>46050</v>
      </c>
      <c r="X83" s="590">
        <v>26427500</v>
      </c>
      <c r="Y83" s="591">
        <v>46387</v>
      </c>
      <c r="Z83" s="168" t="s">
        <v>104</v>
      </c>
      <c r="AA83" s="37">
        <v>20115</v>
      </c>
      <c r="AB83" s="604" t="s">
        <v>105</v>
      </c>
      <c r="AC83" s="603" t="s">
        <v>106</v>
      </c>
      <c r="AD83" s="609" t="s">
        <v>107</v>
      </c>
      <c r="AE83" s="610" t="s">
        <v>152</v>
      </c>
      <c r="AF83" s="588" t="s">
        <v>102</v>
      </c>
      <c r="AG83" s="588"/>
      <c r="AH83" s="588" t="s">
        <v>1172</v>
      </c>
      <c r="AI83" s="182" t="s">
        <v>1173</v>
      </c>
      <c r="AJ83" s="351" t="s">
        <v>1174</v>
      </c>
      <c r="AK83" s="611" t="s">
        <v>1175</v>
      </c>
      <c r="AL83" s="612">
        <v>9</v>
      </c>
      <c r="AM83" s="588"/>
      <c r="AN83" s="613" t="s">
        <v>1162</v>
      </c>
      <c r="AO83" s="587" t="s">
        <v>568</v>
      </c>
      <c r="AP83" s="606" t="s">
        <v>1176</v>
      </c>
      <c r="AQ83" s="588" t="s">
        <v>116</v>
      </c>
      <c r="AR83" s="588" t="s">
        <v>1177</v>
      </c>
      <c r="AS83" s="614" t="s">
        <v>1178</v>
      </c>
      <c r="AT83" s="606" t="s">
        <v>437</v>
      </c>
      <c r="AU83" s="51" t="s">
        <v>1069</v>
      </c>
      <c r="AV83" s="587" t="s">
        <v>1179</v>
      </c>
      <c r="AW83" s="603" t="s">
        <v>1180</v>
      </c>
      <c r="AX83" s="295" t="s">
        <v>1181</v>
      </c>
      <c r="AY83" s="615">
        <f t="shared" si="13"/>
        <v>16817500</v>
      </c>
      <c r="AZ83" s="588"/>
      <c r="BA83" s="588"/>
      <c r="BB83" s="616"/>
      <c r="BC83" s="616"/>
      <c r="BD83" s="300" t="s">
        <v>1153</v>
      </c>
      <c r="BE83" s="300">
        <v>4</v>
      </c>
      <c r="BF83" s="295" t="s">
        <v>1182</v>
      </c>
      <c r="BG83" s="95">
        <v>4805000</v>
      </c>
      <c r="BH83" s="601"/>
      <c r="BI83" s="601"/>
      <c r="BJ83" s="601"/>
      <c r="BK83" s="601"/>
      <c r="BL83" s="601" t="s">
        <v>1183</v>
      </c>
      <c r="BM83" s="56">
        <f>BG83/2</f>
        <v>2402500</v>
      </c>
      <c r="BN83" s="28" t="s">
        <v>323</v>
      </c>
      <c r="BO83" s="104" t="s">
        <v>324</v>
      </c>
      <c r="BP83" s="32">
        <v>31907790</v>
      </c>
      <c r="BQ83" s="603"/>
      <c r="BR83" s="21" t="s">
        <v>126</v>
      </c>
      <c r="BS83" s="59" t="s">
        <v>1184</v>
      </c>
      <c r="BT83" s="60">
        <v>46050</v>
      </c>
      <c r="BU83" s="85">
        <v>4500408040</v>
      </c>
      <c r="BV83" s="62">
        <v>46051</v>
      </c>
      <c r="BW83" s="60">
        <v>46051</v>
      </c>
      <c r="BX83" s="60">
        <v>46051</v>
      </c>
      <c r="BY83" s="617"/>
      <c r="BZ83" s="617"/>
      <c r="CA83" s="617"/>
      <c r="CB83" s="617"/>
      <c r="CC83" s="617"/>
      <c r="CD83" s="617"/>
      <c r="CE83" s="618" t="s">
        <v>1185</v>
      </c>
      <c r="CF83" s="125" t="s">
        <v>1186</v>
      </c>
      <c r="CG83" s="619"/>
      <c r="CH83" s="127">
        <v>3166041372</v>
      </c>
      <c r="CI83" s="588"/>
      <c r="CJ83" s="588"/>
      <c r="CK83" s="588"/>
      <c r="CL83" s="588"/>
      <c r="CM83" s="588"/>
    </row>
  </sheetData>
  <hyperlinks>
    <hyperlink ref="CF2" r:id="rId1"/>
    <hyperlink ref="CF4" r:id="rId2"/>
    <hyperlink ref="CF13" r:id="rId3"/>
    <hyperlink ref="CF21" r:id="rId4"/>
    <hyperlink ref="CF22" r:id="rId5"/>
    <hyperlink ref="CF23" r:id="rId6"/>
    <hyperlink ref="CF26" r:id="rId7"/>
    <hyperlink ref="CF28" r:id="rId8"/>
    <hyperlink ref="CF32" r:id="rId9"/>
    <hyperlink ref="CF35" r:id="rId10"/>
    <hyperlink ref="CF37" r:id="rId11"/>
    <hyperlink ref="CF38" r:id="rId12"/>
    <hyperlink ref="CF39" r:id="rId13"/>
    <hyperlink ref="CF40" r:id="rId14"/>
    <hyperlink ref="CF42" r:id="rId15"/>
    <hyperlink ref="CF46" r:id="rId16"/>
    <hyperlink ref="CF51" r:id="rId17"/>
    <hyperlink ref="CF52" r:id="rId18"/>
    <hyperlink ref="CF56" r:id="rId19"/>
    <hyperlink ref="CF58" r:id="rId20"/>
    <hyperlink ref="CE74" r:id="rId21"/>
    <hyperlink ref="CF78" r:id="rId22"/>
  </hyperlinks>
  <pageMargins left="0.31496062992125984" right="0.31496062992125984" top="0.35433070866141736" bottom="0.35433070866141736" header="0" footer="0"/>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3:J994"/>
  <sheetViews>
    <sheetView workbookViewId="0"/>
  </sheetViews>
  <sheetFormatPr baseColWidth="10" defaultColWidth="11.25" defaultRowHeight="15" customHeight="1" x14ac:dyDescent="0.25"/>
  <cols>
    <col min="2" max="2" width="51.375" customWidth="1"/>
  </cols>
  <sheetData>
    <row r="3" spans="2:10" ht="192" customHeight="1" x14ac:dyDescent="0.25">
      <c r="B3" s="154" t="s">
        <v>1187</v>
      </c>
      <c r="D3" s="622" t="s">
        <v>1188</v>
      </c>
      <c r="E3" s="622" t="s">
        <v>1189</v>
      </c>
      <c r="F3" s="622" t="s">
        <v>1190</v>
      </c>
      <c r="H3" s="622"/>
      <c r="I3" s="622" t="s">
        <v>1189</v>
      </c>
      <c r="J3" s="622" t="s">
        <v>1190</v>
      </c>
    </row>
    <row r="4" spans="2:10" ht="15" customHeight="1" x14ac:dyDescent="0.25">
      <c r="D4" s="622"/>
      <c r="E4" s="622">
        <v>8</v>
      </c>
      <c r="F4" s="622">
        <v>12</v>
      </c>
      <c r="H4" s="622"/>
      <c r="I4" s="622"/>
      <c r="J4" s="622"/>
    </row>
    <row r="5" spans="2:10" ht="15" customHeight="1" x14ac:dyDescent="0.25">
      <c r="D5" s="622"/>
      <c r="E5" s="622">
        <v>7</v>
      </c>
      <c r="F5" s="622">
        <v>0</v>
      </c>
      <c r="H5" s="622"/>
      <c r="I5" s="622"/>
      <c r="J5" s="622"/>
    </row>
    <row r="6" spans="2:10" ht="15" customHeight="1" x14ac:dyDescent="0.25">
      <c r="D6" s="622"/>
      <c r="E6" s="622">
        <v>2</v>
      </c>
      <c r="F6" s="622">
        <v>9</v>
      </c>
      <c r="H6" s="622"/>
      <c r="I6" s="622"/>
      <c r="J6" s="622"/>
    </row>
    <row r="7" spans="2:10" ht="15" customHeight="1" x14ac:dyDescent="0.25">
      <c r="D7" s="622"/>
      <c r="E7" s="622">
        <v>5</v>
      </c>
      <c r="F7" s="622">
        <v>12</v>
      </c>
      <c r="H7" s="622"/>
      <c r="I7" s="622"/>
      <c r="J7" s="622"/>
    </row>
    <row r="8" spans="2:10" ht="15" customHeight="1" x14ac:dyDescent="0.25">
      <c r="D8" s="622"/>
      <c r="E8" s="622">
        <v>2</v>
      </c>
      <c r="F8" s="622">
        <v>24</v>
      </c>
      <c r="H8" s="622"/>
      <c r="I8" s="622"/>
      <c r="J8" s="622"/>
    </row>
    <row r="9" spans="2:10" ht="15" customHeight="1" x14ac:dyDescent="0.25">
      <c r="D9" s="622"/>
      <c r="E9" s="622"/>
      <c r="F9" s="622"/>
      <c r="H9" s="622"/>
      <c r="I9" s="622"/>
      <c r="J9" s="622"/>
    </row>
    <row r="10" spans="2:10" ht="15" customHeight="1" x14ac:dyDescent="0.25">
      <c r="D10" s="622"/>
      <c r="E10" s="622"/>
      <c r="F10" s="622"/>
      <c r="H10" s="622"/>
      <c r="I10" s="622"/>
      <c r="J10" s="622"/>
    </row>
    <row r="11" spans="2:10" ht="15" customHeight="1" x14ac:dyDescent="0.25">
      <c r="D11" s="622"/>
      <c r="E11" s="622"/>
      <c r="F11" s="622"/>
      <c r="H11" s="622"/>
      <c r="I11" s="622"/>
      <c r="J11" s="622"/>
    </row>
    <row r="12" spans="2:10" ht="15" customHeight="1" x14ac:dyDescent="0.25">
      <c r="D12" s="622"/>
      <c r="E12" s="622"/>
      <c r="F12" s="622"/>
      <c r="H12" s="622"/>
      <c r="I12" s="622"/>
      <c r="J12" s="622"/>
    </row>
    <row r="13" spans="2:10" ht="15" customHeight="1" x14ac:dyDescent="0.25">
      <c r="D13" s="622"/>
      <c r="E13" s="622"/>
      <c r="F13" s="622"/>
      <c r="H13" s="622">
        <v>1</v>
      </c>
      <c r="I13" s="622">
        <v>8</v>
      </c>
      <c r="J13" s="622">
        <v>29</v>
      </c>
    </row>
    <row r="14" spans="2:10" ht="15" customHeight="1" x14ac:dyDescent="0.25">
      <c r="D14" s="622"/>
      <c r="E14" s="622"/>
      <c r="F14" s="622"/>
      <c r="H14" s="622">
        <v>1</v>
      </c>
      <c r="I14" s="622">
        <v>7</v>
      </c>
      <c r="J14" s="622"/>
    </row>
    <row r="15" spans="2:10" ht="15" customHeight="1" x14ac:dyDescent="0.25">
      <c r="E15" s="622"/>
      <c r="F15" s="622"/>
      <c r="I15" s="622"/>
      <c r="J15" s="622"/>
    </row>
    <row r="16" spans="2:10" ht="15" customHeight="1" x14ac:dyDescent="0.25">
      <c r="E16" s="622"/>
      <c r="F16" s="622"/>
      <c r="I16" s="622"/>
      <c r="J16" s="622"/>
    </row>
    <row r="17" spans="2:10" ht="15.75" customHeight="1" x14ac:dyDescent="0.25"/>
    <row r="18" spans="2:10" ht="15.75" customHeight="1" x14ac:dyDescent="0.25"/>
    <row r="19" spans="2:10" ht="15.75" customHeight="1" x14ac:dyDescent="0.25"/>
    <row r="20" spans="2:10" ht="15" customHeight="1" x14ac:dyDescent="0.25">
      <c r="D20" s="622"/>
      <c r="E20" s="622"/>
      <c r="F20" s="622"/>
      <c r="H20" s="622"/>
      <c r="I20" s="622"/>
      <c r="J20" s="622"/>
    </row>
    <row r="21" spans="2:10" ht="15" customHeight="1" x14ac:dyDescent="0.25">
      <c r="D21" s="622">
        <f>SUM(D4:D16)</f>
        <v>0</v>
      </c>
      <c r="E21" s="622">
        <f t="shared" ref="E21:F21" si="0">SUM(E4:E20)</f>
        <v>24</v>
      </c>
      <c r="F21" s="622">
        <f t="shared" si="0"/>
        <v>57</v>
      </c>
      <c r="H21" s="622">
        <f t="shared" ref="H21:J21" si="1">SUM(H13:H16)</f>
        <v>2</v>
      </c>
      <c r="I21" s="622">
        <f t="shared" si="1"/>
        <v>15</v>
      </c>
      <c r="J21" s="622">
        <f t="shared" si="1"/>
        <v>29</v>
      </c>
    </row>
    <row r="22" spans="2:10" ht="15" customHeight="1" x14ac:dyDescent="0.25">
      <c r="D22" s="622"/>
      <c r="E22" s="622"/>
      <c r="F22" s="622">
        <f>F21-30</f>
        <v>27</v>
      </c>
      <c r="H22" s="622">
        <v>3</v>
      </c>
      <c r="I22" s="622">
        <v>3</v>
      </c>
      <c r="J22" s="622"/>
    </row>
    <row r="23" spans="2:10" ht="15" customHeight="1" x14ac:dyDescent="0.25">
      <c r="D23" s="622">
        <v>2</v>
      </c>
      <c r="E23" s="622">
        <v>1</v>
      </c>
      <c r="H23" s="622"/>
      <c r="I23" s="622"/>
    </row>
    <row r="24" spans="2:10" ht="15.75" customHeight="1" x14ac:dyDescent="0.25"/>
    <row r="25" spans="2:10" ht="15.75" customHeight="1" x14ac:dyDescent="0.25">
      <c r="F25" s="622"/>
    </row>
    <row r="26" spans="2:10" ht="15.75" customHeight="1" x14ac:dyDescent="0.25"/>
    <row r="27" spans="2:10" ht="221.25" customHeight="1" x14ac:dyDescent="0.25">
      <c r="B27" s="621" t="s">
        <v>1191</v>
      </c>
    </row>
    <row r="28" spans="2:10" ht="15.75" customHeight="1" x14ac:dyDescent="0.25"/>
    <row r="29" spans="2:10" ht="15.75" customHeight="1" x14ac:dyDescent="0.25"/>
    <row r="30" spans="2:10" ht="15.75" customHeight="1" x14ac:dyDescent="0.25">
      <c r="C30" s="622">
        <v>4</v>
      </c>
      <c r="D30" s="622">
        <v>8</v>
      </c>
    </row>
    <row r="31" spans="2:10" ht="15.75" customHeight="1" x14ac:dyDescent="0.25">
      <c r="C31" s="622">
        <v>3</v>
      </c>
      <c r="D31" s="622">
        <v>10</v>
      </c>
    </row>
    <row r="32" spans="2:10" ht="15.75" customHeight="1" x14ac:dyDescent="0.25">
      <c r="C32" s="622">
        <v>5</v>
      </c>
      <c r="D32" s="622">
        <v>22</v>
      </c>
    </row>
    <row r="33" spans="3:4" ht="15.75" customHeight="1" x14ac:dyDescent="0.25">
      <c r="C33" s="622">
        <v>1</v>
      </c>
      <c r="D33" s="622">
        <v>22</v>
      </c>
    </row>
    <row r="34" spans="3:4" ht="15.75" customHeight="1" x14ac:dyDescent="0.25">
      <c r="C34" s="622">
        <v>5</v>
      </c>
      <c r="D34" s="622">
        <v>18</v>
      </c>
    </row>
    <row r="35" spans="3:4" ht="15.75" customHeight="1" x14ac:dyDescent="0.25">
      <c r="C35" s="622">
        <v>3</v>
      </c>
      <c r="D35" s="622">
        <v>17</v>
      </c>
    </row>
    <row r="36" spans="3:4" ht="15.75" customHeight="1" x14ac:dyDescent="0.25">
      <c r="C36" s="622">
        <v>2</v>
      </c>
      <c r="D36" s="622">
        <v>13</v>
      </c>
    </row>
    <row r="37" spans="3:4" ht="15.75" customHeight="1" x14ac:dyDescent="0.25">
      <c r="C37" s="622">
        <v>1</v>
      </c>
      <c r="D37" s="622">
        <v>7</v>
      </c>
    </row>
    <row r="38" spans="3:4" ht="15.75" customHeight="1" x14ac:dyDescent="0.25">
      <c r="C38" s="622">
        <v>7</v>
      </c>
      <c r="D38" s="622">
        <v>18</v>
      </c>
    </row>
    <row r="39" spans="3:4" ht="15.75" customHeight="1" x14ac:dyDescent="0.25">
      <c r="C39" s="622">
        <v>5</v>
      </c>
      <c r="D39" s="622">
        <v>17</v>
      </c>
    </row>
    <row r="40" spans="3:4" ht="15.75" customHeight="1" x14ac:dyDescent="0.25">
      <c r="C40" s="622">
        <v>5</v>
      </c>
      <c r="D40" s="622">
        <v>13</v>
      </c>
    </row>
    <row r="41" spans="3:4" ht="15.75" customHeight="1" x14ac:dyDescent="0.25">
      <c r="C41" s="622">
        <f t="shared" ref="C41:D41" si="2">SUM(C30:C40)</f>
        <v>41</v>
      </c>
      <c r="D41" s="622">
        <f t="shared" si="2"/>
        <v>165</v>
      </c>
    </row>
    <row r="42" spans="3:4" ht="15.75" customHeight="1" x14ac:dyDescent="0.25">
      <c r="C42" s="622">
        <v>46</v>
      </c>
      <c r="D42" s="622">
        <f>D41-150</f>
        <v>15</v>
      </c>
    </row>
    <row r="43" spans="3:4" ht="15.75" customHeight="1" x14ac:dyDescent="0.25">
      <c r="C43" s="622">
        <f>C42-36</f>
        <v>10</v>
      </c>
    </row>
    <row r="44" spans="3:4" ht="15.75" customHeight="1" x14ac:dyDescent="0.25"/>
    <row r="45" spans="3:4" ht="15.75" customHeight="1" x14ac:dyDescent="0.25">
      <c r="C45" s="622" t="s">
        <v>1192</v>
      </c>
    </row>
    <row r="46" spans="3:4" ht="15.75" customHeight="1" x14ac:dyDescent="0.25"/>
    <row r="47" spans="3:4" ht="15.75" customHeight="1" x14ac:dyDescent="0.25"/>
    <row r="48" spans="3:4"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F999"/>
  <sheetViews>
    <sheetView workbookViewId="0"/>
  </sheetViews>
  <sheetFormatPr baseColWidth="10" defaultColWidth="11.25" defaultRowHeight="15" customHeight="1" x14ac:dyDescent="0.25"/>
  <cols>
    <col min="1" max="1" width="36" customWidth="1"/>
    <col min="2" max="2" width="30" customWidth="1"/>
    <col min="3" max="3" width="10.375" customWidth="1"/>
    <col min="4" max="4" width="23.375" customWidth="1"/>
    <col min="5" max="6" width="10.375" customWidth="1"/>
  </cols>
  <sheetData>
    <row r="1" spans="1:4" ht="31.5" x14ac:dyDescent="0.25">
      <c r="A1" s="623" t="s">
        <v>35</v>
      </c>
      <c r="B1" s="624" t="s">
        <v>1193</v>
      </c>
      <c r="C1" s="625" t="s">
        <v>1194</v>
      </c>
      <c r="D1" s="626" t="s">
        <v>1195</v>
      </c>
    </row>
    <row r="2" spans="1:4" ht="22.5" customHeight="1" x14ac:dyDescent="0.25">
      <c r="A2" s="212" t="s">
        <v>111</v>
      </c>
      <c r="B2" s="384" t="s">
        <v>1196</v>
      </c>
      <c r="C2" s="384" t="s">
        <v>1197</v>
      </c>
      <c r="D2" s="384" t="s">
        <v>1198</v>
      </c>
    </row>
    <row r="3" spans="1:4" ht="22.5" hidden="1" customHeight="1" x14ac:dyDescent="0.25">
      <c r="A3" s="42" t="s">
        <v>155</v>
      </c>
      <c r="B3" s="384" t="s">
        <v>1196</v>
      </c>
      <c r="C3" s="384" t="s">
        <v>1199</v>
      </c>
      <c r="D3" s="384" t="s">
        <v>1198</v>
      </c>
    </row>
    <row r="4" spans="1:4" ht="22.5" customHeight="1" x14ac:dyDescent="0.25">
      <c r="A4" s="42" t="s">
        <v>173</v>
      </c>
      <c r="B4" s="384" t="s">
        <v>1196</v>
      </c>
      <c r="C4" s="384" t="s">
        <v>1197</v>
      </c>
      <c r="D4" s="384" t="s">
        <v>1198</v>
      </c>
    </row>
    <row r="5" spans="1:4" ht="22.5" hidden="1" customHeight="1" x14ac:dyDescent="0.25">
      <c r="A5" s="77" t="s">
        <v>237</v>
      </c>
      <c r="B5" s="384" t="s">
        <v>1196</v>
      </c>
      <c r="C5" s="384" t="s">
        <v>1199</v>
      </c>
      <c r="D5" s="384" t="s">
        <v>1198</v>
      </c>
    </row>
    <row r="6" spans="1:4" ht="33.75" hidden="1" customHeight="1" x14ac:dyDescent="0.25">
      <c r="A6" s="42" t="s">
        <v>272</v>
      </c>
      <c r="B6" s="627" t="s">
        <v>1196</v>
      </c>
      <c r="C6" s="384" t="s">
        <v>1200</v>
      </c>
      <c r="D6" s="384" t="s">
        <v>1198</v>
      </c>
    </row>
    <row r="7" spans="1:4" ht="22.5" customHeight="1" x14ac:dyDescent="0.25">
      <c r="A7" s="42" t="s">
        <v>300</v>
      </c>
      <c r="B7" s="384" t="s">
        <v>1196</v>
      </c>
      <c r="C7" s="384" t="s">
        <v>1197</v>
      </c>
      <c r="D7" s="384" t="s">
        <v>1198</v>
      </c>
    </row>
    <row r="8" spans="1:4" ht="22.5" hidden="1" customHeight="1" x14ac:dyDescent="0.25">
      <c r="A8" s="42" t="s">
        <v>344</v>
      </c>
      <c r="B8" s="384" t="s">
        <v>1196</v>
      </c>
      <c r="C8" s="384" t="s">
        <v>1199</v>
      </c>
      <c r="D8" s="384" t="s">
        <v>1198</v>
      </c>
    </row>
    <row r="9" spans="1:4" ht="22.5" customHeight="1" x14ac:dyDescent="0.25">
      <c r="A9" s="42" t="s">
        <v>220</v>
      </c>
      <c r="B9" s="384" t="s">
        <v>1196</v>
      </c>
      <c r="C9" s="384" t="s">
        <v>1197</v>
      </c>
      <c r="D9" s="384" t="s">
        <v>1198</v>
      </c>
    </row>
    <row r="10" spans="1:4" ht="22.5" customHeight="1" x14ac:dyDescent="0.25">
      <c r="A10" s="42" t="s">
        <v>314</v>
      </c>
      <c r="B10" s="384" t="s">
        <v>1201</v>
      </c>
      <c r="C10" s="384" t="s">
        <v>1197</v>
      </c>
      <c r="D10" s="384" t="s">
        <v>1198</v>
      </c>
    </row>
    <row r="11" spans="1:4" ht="22.5" hidden="1" customHeight="1" x14ac:dyDescent="0.25">
      <c r="A11" s="42" t="s">
        <v>256</v>
      </c>
      <c r="B11" s="384" t="s">
        <v>1196</v>
      </c>
      <c r="C11" s="384" t="s">
        <v>1200</v>
      </c>
      <c r="D11" s="384" t="s">
        <v>1198</v>
      </c>
    </row>
    <row r="12" spans="1:4" ht="22.5" hidden="1" customHeight="1" x14ac:dyDescent="0.25">
      <c r="A12" s="42" t="s">
        <v>285</v>
      </c>
      <c r="B12" s="384" t="s">
        <v>1196</v>
      </c>
      <c r="C12" s="384" t="s">
        <v>1200</v>
      </c>
      <c r="D12" s="384" t="s">
        <v>1198</v>
      </c>
    </row>
    <row r="13" spans="1:4" ht="22.5" customHeight="1" x14ac:dyDescent="0.25">
      <c r="A13" s="42" t="s">
        <v>359</v>
      </c>
      <c r="B13" s="384" t="s">
        <v>1196</v>
      </c>
      <c r="C13" s="384" t="s">
        <v>1197</v>
      </c>
      <c r="D13" s="384"/>
    </row>
    <row r="14" spans="1:4" ht="22.5" customHeight="1" x14ac:dyDescent="0.25">
      <c r="A14" s="77" t="s">
        <v>406</v>
      </c>
      <c r="B14" s="384" t="s">
        <v>1196</v>
      </c>
      <c r="C14" s="384" t="s">
        <v>1197</v>
      </c>
      <c r="D14" s="384" t="s">
        <v>1198</v>
      </c>
    </row>
    <row r="15" spans="1:4" ht="22.5" hidden="1" customHeight="1" x14ac:dyDescent="0.25">
      <c r="A15" s="42" t="s">
        <v>371</v>
      </c>
      <c r="B15" s="628" t="s">
        <v>1196</v>
      </c>
      <c r="C15" s="384" t="s">
        <v>1199</v>
      </c>
      <c r="D15" s="384" t="s">
        <v>1202</v>
      </c>
    </row>
    <row r="16" spans="1:4" ht="22.5" customHeight="1" x14ac:dyDescent="0.25">
      <c r="A16" s="77" t="s">
        <v>566</v>
      </c>
      <c r="B16" s="628" t="s">
        <v>1196</v>
      </c>
      <c r="C16" s="384" t="s">
        <v>1197</v>
      </c>
      <c r="D16" s="384"/>
    </row>
    <row r="17" spans="1:6" ht="22.5" hidden="1" customHeight="1" x14ac:dyDescent="0.25">
      <c r="A17" s="42" t="s">
        <v>579</v>
      </c>
      <c r="B17" s="628" t="s">
        <v>1203</v>
      </c>
      <c r="C17" s="384"/>
      <c r="D17" s="384"/>
    </row>
    <row r="18" spans="1:6" ht="22.5" customHeight="1" x14ac:dyDescent="0.25">
      <c r="A18" s="42" t="s">
        <v>420</v>
      </c>
      <c r="B18" s="384" t="s">
        <v>1204</v>
      </c>
      <c r="C18" s="384" t="s">
        <v>1197</v>
      </c>
      <c r="D18" s="384" t="s">
        <v>1198</v>
      </c>
    </row>
    <row r="19" spans="1:6" ht="22.5" hidden="1" customHeight="1" x14ac:dyDescent="0.25">
      <c r="A19" s="42" t="s">
        <v>445</v>
      </c>
      <c r="B19" s="628" t="s">
        <v>1205</v>
      </c>
      <c r="C19" s="384" t="s">
        <v>1199</v>
      </c>
      <c r="D19" s="384"/>
    </row>
    <row r="20" spans="1:6" ht="22.5" customHeight="1" x14ac:dyDescent="0.25">
      <c r="A20" s="42" t="s">
        <v>432</v>
      </c>
      <c r="B20" s="384" t="s">
        <v>1196</v>
      </c>
      <c r="C20" s="384" t="s">
        <v>1197</v>
      </c>
      <c r="D20" s="384" t="s">
        <v>1198</v>
      </c>
    </row>
    <row r="21" spans="1:6" ht="22.5" hidden="1" customHeight="1" x14ac:dyDescent="0.25">
      <c r="A21" s="42" t="s">
        <v>456</v>
      </c>
      <c r="B21" s="384" t="s">
        <v>1196</v>
      </c>
      <c r="C21" s="384" t="s">
        <v>1199</v>
      </c>
      <c r="D21" s="384" t="s">
        <v>1198</v>
      </c>
    </row>
    <row r="22" spans="1:6" ht="22.5" customHeight="1" x14ac:dyDescent="0.25">
      <c r="A22" s="42" t="s">
        <v>472</v>
      </c>
      <c r="B22" s="384" t="s">
        <v>1196</v>
      </c>
      <c r="C22" s="384" t="s">
        <v>1197</v>
      </c>
      <c r="D22" s="384" t="s">
        <v>1198</v>
      </c>
    </row>
    <row r="23" spans="1:6" ht="22.5" customHeight="1" x14ac:dyDescent="0.25">
      <c r="A23" s="42" t="s">
        <v>485</v>
      </c>
      <c r="B23" s="384" t="s">
        <v>1196</v>
      </c>
      <c r="C23" s="384" t="s">
        <v>1206</v>
      </c>
      <c r="D23" s="384" t="s">
        <v>1198</v>
      </c>
    </row>
    <row r="24" spans="1:6" ht="22.5" hidden="1" customHeight="1" x14ac:dyDescent="0.25">
      <c r="A24" s="42" t="s">
        <v>496</v>
      </c>
      <c r="B24" s="628" t="s">
        <v>1207</v>
      </c>
      <c r="C24" s="384"/>
      <c r="D24" s="384"/>
      <c r="F24" s="378"/>
    </row>
    <row r="25" spans="1:6" ht="22.5" customHeight="1" x14ac:dyDescent="0.25">
      <c r="A25" s="42" t="s">
        <v>507</v>
      </c>
      <c r="B25" s="384" t="s">
        <v>1196</v>
      </c>
      <c r="C25" s="384" t="s">
        <v>1197</v>
      </c>
      <c r="D25" s="384"/>
    </row>
    <row r="26" spans="1:6" ht="22.5" customHeight="1" x14ac:dyDescent="0.25">
      <c r="A26" s="39" t="s">
        <v>519</v>
      </c>
      <c r="B26" s="384" t="s">
        <v>1196</v>
      </c>
      <c r="C26" s="384" t="s">
        <v>1197</v>
      </c>
      <c r="D26" s="384"/>
    </row>
    <row r="27" spans="1:6" ht="22.5" customHeight="1" x14ac:dyDescent="0.25">
      <c r="A27" s="629" t="s">
        <v>531</v>
      </c>
      <c r="B27" s="384" t="s">
        <v>1196</v>
      </c>
      <c r="C27" s="384" t="s">
        <v>1197</v>
      </c>
      <c r="D27" s="384" t="s">
        <v>1198</v>
      </c>
    </row>
    <row r="28" spans="1:6" ht="22.5" hidden="1" customHeight="1" x14ac:dyDescent="0.25">
      <c r="A28" s="42" t="s">
        <v>1208</v>
      </c>
      <c r="B28" s="620" t="s">
        <v>1209</v>
      </c>
      <c r="C28" s="384" t="s">
        <v>1199</v>
      </c>
      <c r="D28" s="384"/>
    </row>
    <row r="29" spans="1:6" ht="22.5" hidden="1" customHeight="1" x14ac:dyDescent="0.25">
      <c r="A29" s="255" t="s">
        <v>134</v>
      </c>
      <c r="B29" s="628" t="s">
        <v>1196</v>
      </c>
      <c r="C29" s="384" t="s">
        <v>1199</v>
      </c>
      <c r="D29" s="384" t="s">
        <v>1198</v>
      </c>
    </row>
    <row r="30" spans="1:6" ht="22.5" customHeight="1" x14ac:dyDescent="0.25">
      <c r="A30" s="42" t="s">
        <v>553</v>
      </c>
      <c r="B30" s="384" t="s">
        <v>1196</v>
      </c>
      <c r="C30" s="384" t="s">
        <v>1210</v>
      </c>
      <c r="D30" s="384" t="s">
        <v>1202</v>
      </c>
    </row>
    <row r="31" spans="1:6" ht="22.5" customHeight="1" x14ac:dyDescent="0.25">
      <c r="A31" s="42" t="s">
        <v>593</v>
      </c>
      <c r="B31" s="384" t="s">
        <v>1196</v>
      </c>
      <c r="C31" s="384" t="s">
        <v>1197</v>
      </c>
      <c r="D31" s="384" t="s">
        <v>1198</v>
      </c>
    </row>
    <row r="32" spans="1:6" ht="22.5" customHeight="1" x14ac:dyDescent="0.25">
      <c r="A32" s="42" t="s">
        <v>609</v>
      </c>
      <c r="B32" s="384" t="s">
        <v>1196</v>
      </c>
      <c r="C32" s="384" t="s">
        <v>1197</v>
      </c>
      <c r="D32" s="384" t="s">
        <v>1198</v>
      </c>
    </row>
    <row r="33" spans="1:6" ht="22.5" customHeight="1" x14ac:dyDescent="0.25">
      <c r="A33" s="629" t="s">
        <v>623</v>
      </c>
      <c r="B33" s="384" t="s">
        <v>1196</v>
      </c>
      <c r="C33" s="384" t="s">
        <v>1197</v>
      </c>
      <c r="D33" s="384" t="s">
        <v>1198</v>
      </c>
    </row>
    <row r="34" spans="1:6" ht="22.5" customHeight="1" x14ac:dyDescent="0.25">
      <c r="A34" s="42" t="s">
        <v>636</v>
      </c>
      <c r="B34" s="384" t="s">
        <v>1196</v>
      </c>
      <c r="C34" s="384" t="s">
        <v>1197</v>
      </c>
      <c r="D34" s="384" t="s">
        <v>1198</v>
      </c>
    </row>
    <row r="35" spans="1:6" ht="22.5" customHeight="1" x14ac:dyDescent="0.25">
      <c r="A35" s="42" t="s">
        <v>648</v>
      </c>
      <c r="B35" s="384" t="s">
        <v>1196</v>
      </c>
      <c r="C35" s="384" t="s">
        <v>1197</v>
      </c>
      <c r="D35" s="384" t="s">
        <v>1198</v>
      </c>
    </row>
    <row r="36" spans="1:6" ht="22.5" customHeight="1" x14ac:dyDescent="0.25">
      <c r="A36" s="42" t="s">
        <v>331</v>
      </c>
      <c r="B36" s="384" t="s">
        <v>1196</v>
      </c>
      <c r="C36" s="384" t="s">
        <v>1197</v>
      </c>
      <c r="D36" s="384" t="s">
        <v>1211</v>
      </c>
    </row>
    <row r="37" spans="1:6" ht="22.5" hidden="1" customHeight="1" x14ac:dyDescent="0.25">
      <c r="A37" s="77" t="s">
        <v>660</v>
      </c>
      <c r="B37" s="384" t="s">
        <v>1196</v>
      </c>
      <c r="C37" s="384" t="s">
        <v>1199</v>
      </c>
      <c r="D37" s="384"/>
    </row>
    <row r="38" spans="1:6" ht="22.5" customHeight="1" x14ac:dyDescent="0.25">
      <c r="A38" s="42" t="s">
        <v>672</v>
      </c>
      <c r="B38" s="384" t="s">
        <v>1196</v>
      </c>
      <c r="C38" s="384" t="s">
        <v>1197</v>
      </c>
      <c r="D38" s="384" t="s">
        <v>1198</v>
      </c>
      <c r="F38" s="378"/>
    </row>
    <row r="39" spans="1:6" ht="22.5" customHeight="1" x14ac:dyDescent="0.25">
      <c r="A39" s="42" t="s">
        <v>684</v>
      </c>
      <c r="B39" s="384" t="s">
        <v>1212</v>
      </c>
      <c r="C39" s="384" t="s">
        <v>1197</v>
      </c>
      <c r="D39" s="384" t="s">
        <v>1198</v>
      </c>
    </row>
    <row r="40" spans="1:6" ht="22.5" hidden="1" customHeight="1" x14ac:dyDescent="0.25">
      <c r="A40" s="42" t="s">
        <v>695</v>
      </c>
      <c r="B40" s="628" t="s">
        <v>1204</v>
      </c>
      <c r="C40" s="384" t="s">
        <v>1199</v>
      </c>
      <c r="D40" s="384"/>
    </row>
    <row r="41" spans="1:6" ht="22.5" customHeight="1" x14ac:dyDescent="0.25">
      <c r="A41" s="77" t="s">
        <v>707</v>
      </c>
      <c r="B41" s="384" t="s">
        <v>1196</v>
      </c>
      <c r="C41" s="384" t="s">
        <v>1197</v>
      </c>
      <c r="D41" s="384"/>
    </row>
    <row r="42" spans="1:6" ht="22.5" customHeight="1" x14ac:dyDescent="0.25">
      <c r="A42" s="42" t="s">
        <v>720</v>
      </c>
      <c r="B42" s="384" t="s">
        <v>1196</v>
      </c>
      <c r="C42" s="384" t="s">
        <v>1197</v>
      </c>
      <c r="D42" s="384" t="s">
        <v>1198</v>
      </c>
    </row>
    <row r="43" spans="1:6" ht="22.5" hidden="1" customHeight="1" x14ac:dyDescent="0.25">
      <c r="A43" s="42" t="s">
        <v>732</v>
      </c>
      <c r="B43" s="384" t="s">
        <v>1196</v>
      </c>
      <c r="C43" s="384" t="s">
        <v>1199</v>
      </c>
      <c r="D43" s="384"/>
    </row>
    <row r="44" spans="1:6" ht="22.5" hidden="1" customHeight="1" x14ac:dyDescent="0.25">
      <c r="A44" s="212" t="s">
        <v>745</v>
      </c>
      <c r="B44" s="628" t="s">
        <v>1213</v>
      </c>
      <c r="C44" s="384"/>
      <c r="D44" s="384" t="s">
        <v>1202</v>
      </c>
    </row>
    <row r="45" spans="1:6" ht="22.5" hidden="1" customHeight="1" x14ac:dyDescent="0.25">
      <c r="A45" s="42" t="s">
        <v>759</v>
      </c>
      <c r="B45" s="384" t="s">
        <v>1196</v>
      </c>
      <c r="C45" s="384" t="s">
        <v>1200</v>
      </c>
      <c r="D45" s="384" t="s">
        <v>1198</v>
      </c>
    </row>
    <row r="46" spans="1:6" ht="22.5" hidden="1" customHeight="1" x14ac:dyDescent="0.25">
      <c r="A46" s="212" t="s">
        <v>1214</v>
      </c>
      <c r="B46" s="630" t="s">
        <v>1215</v>
      </c>
      <c r="C46" s="384"/>
      <c r="D46" s="384" t="s">
        <v>1198</v>
      </c>
    </row>
    <row r="47" spans="1:6" ht="22.5" hidden="1" customHeight="1" x14ac:dyDescent="0.25">
      <c r="A47" s="170" t="s">
        <v>772</v>
      </c>
      <c r="B47" s="628" t="s">
        <v>1202</v>
      </c>
      <c r="C47" s="384"/>
      <c r="D47" s="384"/>
    </row>
    <row r="48" spans="1:6" ht="22.5" customHeight="1" x14ac:dyDescent="0.25">
      <c r="A48" s="255" t="s">
        <v>783</v>
      </c>
      <c r="B48" s="384" t="s">
        <v>1216</v>
      </c>
      <c r="C48" s="384" t="s">
        <v>1197</v>
      </c>
      <c r="D48" s="384" t="s">
        <v>1198</v>
      </c>
    </row>
    <row r="49" spans="1:4" ht="22.5" hidden="1" customHeight="1" x14ac:dyDescent="0.25">
      <c r="A49" s="212" t="s">
        <v>793</v>
      </c>
      <c r="B49" s="384" t="s">
        <v>1196</v>
      </c>
      <c r="C49" s="384" t="s">
        <v>1199</v>
      </c>
      <c r="D49" s="384" t="s">
        <v>1198</v>
      </c>
    </row>
    <row r="50" spans="1:4" ht="22.5" customHeight="1" x14ac:dyDescent="0.25">
      <c r="A50" s="42" t="s">
        <v>804</v>
      </c>
      <c r="B50" s="384" t="s">
        <v>1196</v>
      </c>
      <c r="C50" s="384" t="s">
        <v>1197</v>
      </c>
      <c r="D50" s="384" t="s">
        <v>1202</v>
      </c>
    </row>
    <row r="51" spans="1:4" ht="22.5" hidden="1" customHeight="1" x14ac:dyDescent="0.25">
      <c r="A51" s="212" t="s">
        <v>1217</v>
      </c>
      <c r="B51" s="631" t="s">
        <v>1218</v>
      </c>
      <c r="C51" s="631"/>
      <c r="D51" s="631"/>
    </row>
    <row r="52" spans="1:4" ht="22.5" hidden="1" customHeight="1" x14ac:dyDescent="0.25">
      <c r="A52" s="629" t="s">
        <v>390</v>
      </c>
      <c r="B52" s="384" t="s">
        <v>1196</v>
      </c>
      <c r="C52" s="384" t="s">
        <v>1199</v>
      </c>
      <c r="D52" s="384" t="s">
        <v>1198</v>
      </c>
    </row>
    <row r="53" spans="1:4" ht="22.5" hidden="1" customHeight="1" x14ac:dyDescent="0.25">
      <c r="A53" s="288" t="s">
        <v>816</v>
      </c>
      <c r="B53" s="384" t="s">
        <v>1196</v>
      </c>
      <c r="C53" s="384" t="s">
        <v>1199</v>
      </c>
      <c r="D53" s="384" t="s">
        <v>1198</v>
      </c>
    </row>
    <row r="54" spans="1:4" ht="22.5" hidden="1" customHeight="1" x14ac:dyDescent="0.25">
      <c r="A54" s="288" t="s">
        <v>827</v>
      </c>
      <c r="B54" s="384" t="s">
        <v>1196</v>
      </c>
      <c r="C54" s="384" t="s">
        <v>1199</v>
      </c>
      <c r="D54" s="384" t="s">
        <v>1198</v>
      </c>
    </row>
    <row r="55" spans="1:4" ht="22.5" customHeight="1" x14ac:dyDescent="0.25">
      <c r="A55" s="288" t="s">
        <v>839</v>
      </c>
      <c r="B55" s="384" t="s">
        <v>1196</v>
      </c>
      <c r="C55" s="384" t="s">
        <v>1197</v>
      </c>
      <c r="D55" s="384"/>
    </row>
    <row r="56" spans="1:4" ht="22.5" hidden="1" customHeight="1" x14ac:dyDescent="0.25">
      <c r="A56" s="77" t="s">
        <v>851</v>
      </c>
      <c r="B56" s="384" t="s">
        <v>1219</v>
      </c>
      <c r="C56" s="384" t="s">
        <v>1200</v>
      </c>
      <c r="D56" s="384" t="s">
        <v>1198</v>
      </c>
    </row>
    <row r="57" spans="1:4" ht="22.5" customHeight="1" x14ac:dyDescent="0.25">
      <c r="A57" s="77" t="s">
        <v>863</v>
      </c>
      <c r="B57" s="384" t="s">
        <v>1196</v>
      </c>
      <c r="C57" s="384" t="s">
        <v>1197</v>
      </c>
      <c r="D57" s="384"/>
    </row>
    <row r="58" spans="1:4" ht="22.5" customHeight="1" x14ac:dyDescent="0.25">
      <c r="A58" s="77" t="s">
        <v>876</v>
      </c>
      <c r="B58" s="384" t="s">
        <v>1196</v>
      </c>
      <c r="C58" s="384" t="s">
        <v>1197</v>
      </c>
      <c r="D58" s="384" t="s">
        <v>1198</v>
      </c>
    </row>
    <row r="59" spans="1:4" ht="22.5" customHeight="1" x14ac:dyDescent="0.25">
      <c r="A59" s="77" t="s">
        <v>887</v>
      </c>
      <c r="B59" s="384" t="s">
        <v>1220</v>
      </c>
      <c r="C59" s="384" t="s">
        <v>1197</v>
      </c>
      <c r="D59" s="384" t="s">
        <v>1198</v>
      </c>
    </row>
    <row r="60" spans="1:4" ht="22.5" hidden="1" customHeight="1" x14ac:dyDescent="0.25">
      <c r="A60" s="77" t="s">
        <v>898</v>
      </c>
      <c r="B60" s="384" t="s">
        <v>1196</v>
      </c>
      <c r="C60" s="384" t="s">
        <v>1199</v>
      </c>
      <c r="D60" s="384" t="s">
        <v>1198</v>
      </c>
    </row>
    <row r="61" spans="1:4" ht="22.5" hidden="1" customHeight="1" x14ac:dyDescent="0.25">
      <c r="A61" s="42" t="s">
        <v>909</v>
      </c>
      <c r="B61" s="384" t="s">
        <v>1196</v>
      </c>
      <c r="C61" s="384" t="s">
        <v>1199</v>
      </c>
      <c r="D61" s="384" t="s">
        <v>1198</v>
      </c>
    </row>
    <row r="62" spans="1:4" ht="22.5" hidden="1" customHeight="1" x14ac:dyDescent="0.25">
      <c r="A62" s="212" t="s">
        <v>922</v>
      </c>
      <c r="B62" s="384" t="s">
        <v>1196</v>
      </c>
      <c r="C62" s="384" t="s">
        <v>1199</v>
      </c>
      <c r="D62" s="384" t="s">
        <v>1202</v>
      </c>
    </row>
    <row r="63" spans="1:4" ht="22.5" customHeight="1" x14ac:dyDescent="0.25">
      <c r="A63" s="77" t="s">
        <v>1221</v>
      </c>
      <c r="B63" s="384" t="s">
        <v>1196</v>
      </c>
      <c r="C63" s="384" t="s">
        <v>1197</v>
      </c>
      <c r="D63" s="384" t="s">
        <v>1198</v>
      </c>
    </row>
    <row r="64" spans="1:4" ht="22.5" hidden="1" customHeight="1" x14ac:dyDescent="0.25">
      <c r="A64" s="77" t="s">
        <v>934</v>
      </c>
      <c r="B64" s="384" t="s">
        <v>1196</v>
      </c>
      <c r="C64" s="384" t="s">
        <v>1199</v>
      </c>
      <c r="D64" s="384" t="s">
        <v>1222</v>
      </c>
    </row>
    <row r="65" spans="1:4" ht="22.5" customHeight="1" x14ac:dyDescent="0.25">
      <c r="A65" s="42" t="s">
        <v>193</v>
      </c>
      <c r="B65" s="628" t="s">
        <v>1196</v>
      </c>
      <c r="C65" s="384" t="s">
        <v>1197</v>
      </c>
      <c r="D65" s="384"/>
    </row>
    <row r="66" spans="1:4" ht="22.5" hidden="1" customHeight="1" x14ac:dyDescent="0.25">
      <c r="A66" s="427" t="s">
        <v>945</v>
      </c>
      <c r="B66" s="384" t="s">
        <v>1196</v>
      </c>
      <c r="C66" s="384" t="s">
        <v>1199</v>
      </c>
      <c r="D66" s="384" t="s">
        <v>1198</v>
      </c>
    </row>
    <row r="67" spans="1:4" ht="22.5" customHeight="1" x14ac:dyDescent="0.25">
      <c r="A67" s="632" t="s">
        <v>960</v>
      </c>
      <c r="B67" s="384" t="s">
        <v>1196</v>
      </c>
      <c r="C67" s="384" t="s">
        <v>1197</v>
      </c>
      <c r="D67" s="384" t="s">
        <v>1198</v>
      </c>
    </row>
    <row r="68" spans="1:4" ht="22.5" customHeight="1" x14ac:dyDescent="0.25">
      <c r="A68" s="427" t="s">
        <v>971</v>
      </c>
      <c r="B68" s="384" t="s">
        <v>1196</v>
      </c>
      <c r="C68" s="384" t="s">
        <v>1197</v>
      </c>
      <c r="D68" s="384"/>
    </row>
    <row r="69" spans="1:4" ht="22.5" hidden="1" customHeight="1" x14ac:dyDescent="0.25">
      <c r="A69" s="42" t="s">
        <v>982</v>
      </c>
      <c r="B69" s="384" t="s">
        <v>1204</v>
      </c>
      <c r="C69" s="384" t="s">
        <v>1199</v>
      </c>
      <c r="D69" s="384" t="s">
        <v>1198</v>
      </c>
    </row>
    <row r="70" spans="1:4" ht="22.5" customHeight="1" x14ac:dyDescent="0.25">
      <c r="A70" s="42" t="s">
        <v>990</v>
      </c>
      <c r="B70" s="384" t="s">
        <v>1196</v>
      </c>
      <c r="C70" s="384" t="s">
        <v>1197</v>
      </c>
      <c r="D70" s="384"/>
    </row>
    <row r="71" spans="1:4" ht="22.5" hidden="1" customHeight="1" x14ac:dyDescent="0.25">
      <c r="A71" s="77" t="s">
        <v>998</v>
      </c>
      <c r="B71" s="384" t="s">
        <v>1196</v>
      </c>
      <c r="C71" s="384" t="s">
        <v>1199</v>
      </c>
      <c r="D71" s="384" t="s">
        <v>1222</v>
      </c>
    </row>
    <row r="72" spans="1:4" ht="22.5" hidden="1" customHeight="1" x14ac:dyDescent="0.25">
      <c r="A72" s="42" t="s">
        <v>1010</v>
      </c>
      <c r="B72" s="384" t="s">
        <v>1196</v>
      </c>
      <c r="C72" s="384" t="s">
        <v>1199</v>
      </c>
      <c r="D72" s="384" t="s">
        <v>1198</v>
      </c>
    </row>
    <row r="73" spans="1:4" ht="22.5" hidden="1" customHeight="1" x14ac:dyDescent="0.25">
      <c r="A73" s="39" t="s">
        <v>1017</v>
      </c>
      <c r="B73" s="384" t="s">
        <v>1196</v>
      </c>
      <c r="C73" s="384" t="s">
        <v>1199</v>
      </c>
      <c r="D73" s="384" t="s">
        <v>1222</v>
      </c>
    </row>
    <row r="74" spans="1:4" ht="22.5" hidden="1" customHeight="1" x14ac:dyDescent="0.25">
      <c r="A74" s="39" t="s">
        <v>1027</v>
      </c>
      <c r="B74" s="384" t="s">
        <v>1196</v>
      </c>
      <c r="C74" s="384" t="s">
        <v>1199</v>
      </c>
      <c r="D74" s="384" t="s">
        <v>1202</v>
      </c>
    </row>
    <row r="75" spans="1:4" ht="28.5" hidden="1" customHeight="1" x14ac:dyDescent="0.25">
      <c r="A75" s="255" t="s">
        <v>1223</v>
      </c>
      <c r="B75" s="384" t="s">
        <v>1196</v>
      </c>
      <c r="C75" s="384" t="s">
        <v>1199</v>
      </c>
      <c r="D75" s="384"/>
    </row>
    <row r="76" spans="1:4" ht="22.5" hidden="1" customHeight="1" x14ac:dyDescent="0.25">
      <c r="A76" s="42" t="s">
        <v>1051</v>
      </c>
      <c r="B76" s="384" t="s">
        <v>1196</v>
      </c>
      <c r="C76" s="384" t="s">
        <v>1199</v>
      </c>
      <c r="D76" s="384"/>
    </row>
    <row r="77" spans="1:4" ht="22.5" hidden="1" customHeight="1" x14ac:dyDescent="0.25">
      <c r="A77" s="77" t="s">
        <v>1064</v>
      </c>
      <c r="B77" s="384" t="s">
        <v>1196</v>
      </c>
      <c r="C77" s="384" t="s">
        <v>1199</v>
      </c>
      <c r="D77" s="384"/>
    </row>
    <row r="78" spans="1:4" ht="22.5" hidden="1" customHeight="1" x14ac:dyDescent="0.25">
      <c r="A78" s="212" t="s">
        <v>1074</v>
      </c>
      <c r="B78" s="384" t="s">
        <v>1196</v>
      </c>
      <c r="C78" s="384" t="s">
        <v>1199</v>
      </c>
      <c r="D78" s="384"/>
    </row>
    <row r="79" spans="1:4" ht="15.75" customHeight="1" x14ac:dyDescent="0.25">
      <c r="B79" s="620"/>
      <c r="C79" s="620"/>
    </row>
    <row r="80" spans="1:4" ht="15.75" customHeight="1" x14ac:dyDescent="0.25">
      <c r="B80" s="620"/>
      <c r="C80" s="620"/>
    </row>
    <row r="81" spans="2:3" ht="15.75" customHeight="1" x14ac:dyDescent="0.25">
      <c r="B81" s="620"/>
      <c r="C81" s="620"/>
    </row>
    <row r="82" spans="2:3" ht="15.75" customHeight="1" x14ac:dyDescent="0.25">
      <c r="B82" s="620"/>
      <c r="C82" s="620"/>
    </row>
    <row r="83" spans="2:3" ht="15.75" customHeight="1" x14ac:dyDescent="0.25">
      <c r="B83" s="620"/>
      <c r="C83" s="620"/>
    </row>
    <row r="84" spans="2:3" ht="15.75" customHeight="1" x14ac:dyDescent="0.25">
      <c r="B84" s="620"/>
      <c r="C84" s="620"/>
    </row>
    <row r="85" spans="2:3" ht="15.75" customHeight="1" x14ac:dyDescent="0.25">
      <c r="B85" s="620"/>
      <c r="C85" s="620"/>
    </row>
    <row r="86" spans="2:3" ht="15.75" customHeight="1" x14ac:dyDescent="0.25">
      <c r="B86" s="620"/>
      <c r="C86" s="620"/>
    </row>
    <row r="87" spans="2:3" ht="15.75" customHeight="1" x14ac:dyDescent="0.25">
      <c r="B87" s="620"/>
      <c r="C87" s="620"/>
    </row>
    <row r="88" spans="2:3" ht="15.75" customHeight="1" x14ac:dyDescent="0.25">
      <c r="B88" s="620"/>
      <c r="C88" s="620"/>
    </row>
    <row r="89" spans="2:3" ht="15.75" customHeight="1" x14ac:dyDescent="0.25">
      <c r="B89" s="620"/>
      <c r="C89" s="620"/>
    </row>
    <row r="90" spans="2:3" ht="15.75" customHeight="1" x14ac:dyDescent="0.25">
      <c r="B90" s="620"/>
      <c r="C90" s="620"/>
    </row>
    <row r="91" spans="2:3" ht="15.75" customHeight="1" x14ac:dyDescent="0.25">
      <c r="B91" s="620"/>
      <c r="C91" s="620"/>
    </row>
    <row r="92" spans="2:3" ht="15.75" customHeight="1" x14ac:dyDescent="0.25">
      <c r="B92" s="620"/>
      <c r="C92" s="620"/>
    </row>
    <row r="93" spans="2:3" ht="15.75" customHeight="1" x14ac:dyDescent="0.25">
      <c r="B93" s="620"/>
      <c r="C93" s="620"/>
    </row>
    <row r="94" spans="2:3" ht="15.75" customHeight="1" x14ac:dyDescent="0.25">
      <c r="B94" s="620"/>
      <c r="C94" s="620"/>
    </row>
    <row r="95" spans="2:3" ht="15.75" customHeight="1" x14ac:dyDescent="0.25">
      <c r="B95" s="620"/>
      <c r="C95" s="620"/>
    </row>
    <row r="96" spans="2:3" ht="15.75" customHeight="1" x14ac:dyDescent="0.25">
      <c r="B96" s="620"/>
      <c r="C96" s="620"/>
    </row>
    <row r="97" spans="2:3" ht="15.75" customHeight="1" x14ac:dyDescent="0.25">
      <c r="B97" s="620"/>
      <c r="C97" s="620"/>
    </row>
    <row r="98" spans="2:3" ht="15.75" customHeight="1" x14ac:dyDescent="0.25">
      <c r="B98" s="620"/>
      <c r="C98" s="620"/>
    </row>
    <row r="99" spans="2:3" ht="15.75" customHeight="1" x14ac:dyDescent="0.25">
      <c r="B99" s="620"/>
      <c r="C99" s="620"/>
    </row>
    <row r="100" spans="2:3" ht="15.75" customHeight="1" x14ac:dyDescent="0.25">
      <c r="B100" s="620"/>
      <c r="C100" s="620"/>
    </row>
    <row r="101" spans="2:3" ht="15.75" customHeight="1" x14ac:dyDescent="0.25">
      <c r="B101" s="620"/>
      <c r="C101" s="620"/>
    </row>
    <row r="102" spans="2:3" ht="15.75" customHeight="1" x14ac:dyDescent="0.25">
      <c r="B102" s="620"/>
      <c r="C102" s="620"/>
    </row>
    <row r="103" spans="2:3" ht="15.75" customHeight="1" x14ac:dyDescent="0.25">
      <c r="B103" s="620"/>
      <c r="C103" s="620"/>
    </row>
    <row r="104" spans="2:3" ht="15.75" customHeight="1" x14ac:dyDescent="0.25">
      <c r="B104" s="620"/>
      <c r="C104" s="620"/>
    </row>
    <row r="105" spans="2:3" ht="15.75" customHeight="1" x14ac:dyDescent="0.25">
      <c r="B105" s="620"/>
      <c r="C105" s="620"/>
    </row>
    <row r="106" spans="2:3" ht="15.75" customHeight="1" x14ac:dyDescent="0.25">
      <c r="B106" s="620"/>
      <c r="C106" s="620"/>
    </row>
    <row r="107" spans="2:3" ht="15.75" customHeight="1" x14ac:dyDescent="0.25">
      <c r="B107" s="620"/>
      <c r="C107" s="620"/>
    </row>
    <row r="108" spans="2:3" ht="15.75" customHeight="1" x14ac:dyDescent="0.25">
      <c r="B108" s="620"/>
      <c r="C108" s="620"/>
    </row>
    <row r="109" spans="2:3" ht="15.75" customHeight="1" x14ac:dyDescent="0.25">
      <c r="B109" s="620"/>
      <c r="C109" s="620"/>
    </row>
    <row r="110" spans="2:3" ht="15.75" customHeight="1" x14ac:dyDescent="0.25">
      <c r="B110" s="620"/>
      <c r="C110" s="620"/>
    </row>
    <row r="111" spans="2:3" ht="15.75" customHeight="1" x14ac:dyDescent="0.25">
      <c r="B111" s="620"/>
      <c r="C111" s="620"/>
    </row>
    <row r="112" spans="2:3" ht="15.75" customHeight="1" x14ac:dyDescent="0.25">
      <c r="B112" s="620"/>
      <c r="C112" s="620"/>
    </row>
    <row r="113" spans="2:3" ht="15.75" customHeight="1" x14ac:dyDescent="0.25">
      <c r="B113" s="620"/>
      <c r="C113" s="620"/>
    </row>
    <row r="114" spans="2:3" ht="15.75" customHeight="1" x14ac:dyDescent="0.25">
      <c r="B114" s="620"/>
      <c r="C114" s="620"/>
    </row>
    <row r="115" spans="2:3" ht="15.75" customHeight="1" x14ac:dyDescent="0.25">
      <c r="B115" s="620"/>
      <c r="C115" s="620"/>
    </row>
    <row r="116" spans="2:3" ht="15.75" customHeight="1" x14ac:dyDescent="0.25">
      <c r="B116" s="620"/>
      <c r="C116" s="620"/>
    </row>
    <row r="117" spans="2:3" ht="15.75" customHeight="1" x14ac:dyDescent="0.25">
      <c r="B117" s="620"/>
      <c r="C117" s="620"/>
    </row>
    <row r="118" spans="2:3" ht="15.75" customHeight="1" x14ac:dyDescent="0.25">
      <c r="B118" s="620"/>
      <c r="C118" s="620"/>
    </row>
    <row r="119" spans="2:3" ht="15.75" customHeight="1" x14ac:dyDescent="0.25">
      <c r="B119" s="620"/>
      <c r="C119" s="620"/>
    </row>
    <row r="120" spans="2:3" ht="15.75" customHeight="1" x14ac:dyDescent="0.25">
      <c r="B120" s="620"/>
      <c r="C120" s="620"/>
    </row>
    <row r="121" spans="2:3" ht="15.75" customHeight="1" x14ac:dyDescent="0.25">
      <c r="B121" s="620"/>
      <c r="C121" s="620"/>
    </row>
    <row r="122" spans="2:3" ht="15.75" customHeight="1" x14ac:dyDescent="0.25">
      <c r="B122" s="620"/>
      <c r="C122" s="620"/>
    </row>
    <row r="123" spans="2:3" ht="15.75" customHeight="1" x14ac:dyDescent="0.25">
      <c r="B123" s="620"/>
      <c r="C123" s="620"/>
    </row>
    <row r="124" spans="2:3" ht="15.75" customHeight="1" x14ac:dyDescent="0.25">
      <c r="B124" s="620"/>
      <c r="C124" s="620"/>
    </row>
    <row r="125" spans="2:3" ht="15.75" customHeight="1" x14ac:dyDescent="0.25">
      <c r="B125" s="620"/>
      <c r="C125" s="620"/>
    </row>
    <row r="126" spans="2:3" ht="15.75" customHeight="1" x14ac:dyDescent="0.25">
      <c r="B126" s="620"/>
      <c r="C126" s="620"/>
    </row>
    <row r="127" spans="2:3" ht="15.75" customHeight="1" x14ac:dyDescent="0.25">
      <c r="B127" s="620"/>
      <c r="C127" s="620"/>
    </row>
    <row r="128" spans="2:3" ht="15.75" customHeight="1" x14ac:dyDescent="0.25">
      <c r="B128" s="620"/>
      <c r="C128" s="620"/>
    </row>
    <row r="129" spans="2:3" ht="15.75" customHeight="1" x14ac:dyDescent="0.25">
      <c r="B129" s="620"/>
      <c r="C129" s="620"/>
    </row>
    <row r="130" spans="2:3" ht="15.75" customHeight="1" x14ac:dyDescent="0.25">
      <c r="B130" s="620"/>
      <c r="C130" s="620"/>
    </row>
    <row r="131" spans="2:3" ht="15.75" customHeight="1" x14ac:dyDescent="0.25">
      <c r="B131" s="620"/>
      <c r="C131" s="620"/>
    </row>
    <row r="132" spans="2:3" ht="15.75" customHeight="1" x14ac:dyDescent="0.25">
      <c r="B132" s="620"/>
      <c r="C132" s="620"/>
    </row>
    <row r="133" spans="2:3" ht="15.75" customHeight="1" x14ac:dyDescent="0.25">
      <c r="B133" s="620"/>
      <c r="C133" s="620"/>
    </row>
    <row r="134" spans="2:3" ht="15.75" customHeight="1" x14ac:dyDescent="0.25">
      <c r="B134" s="620"/>
      <c r="C134" s="620"/>
    </row>
    <row r="135" spans="2:3" ht="15.75" customHeight="1" x14ac:dyDescent="0.25">
      <c r="B135" s="620"/>
      <c r="C135" s="620"/>
    </row>
    <row r="136" spans="2:3" ht="15.75" customHeight="1" x14ac:dyDescent="0.25">
      <c r="B136" s="620"/>
      <c r="C136" s="620"/>
    </row>
    <row r="137" spans="2:3" ht="15.75" customHeight="1" x14ac:dyDescent="0.25">
      <c r="B137" s="620"/>
      <c r="C137" s="620"/>
    </row>
    <row r="138" spans="2:3" ht="15.75" customHeight="1" x14ac:dyDescent="0.25">
      <c r="B138" s="620"/>
      <c r="C138" s="620"/>
    </row>
    <row r="139" spans="2:3" ht="15.75" customHeight="1" x14ac:dyDescent="0.25">
      <c r="B139" s="620"/>
      <c r="C139" s="620"/>
    </row>
    <row r="140" spans="2:3" ht="15.75" customHeight="1" x14ac:dyDescent="0.25">
      <c r="B140" s="620"/>
      <c r="C140" s="620"/>
    </row>
    <row r="141" spans="2:3" ht="15.75" customHeight="1" x14ac:dyDescent="0.25">
      <c r="B141" s="620"/>
      <c r="C141" s="620"/>
    </row>
    <row r="142" spans="2:3" ht="15.75" customHeight="1" x14ac:dyDescent="0.25">
      <c r="B142" s="620"/>
      <c r="C142" s="620"/>
    </row>
    <row r="143" spans="2:3" ht="15.75" customHeight="1" x14ac:dyDescent="0.25">
      <c r="B143" s="620"/>
      <c r="C143" s="620"/>
    </row>
    <row r="144" spans="2:3" ht="15.75" customHeight="1" x14ac:dyDescent="0.25">
      <c r="B144" s="620"/>
      <c r="C144" s="620"/>
    </row>
    <row r="145" spans="2:3" ht="15.75" customHeight="1" x14ac:dyDescent="0.25">
      <c r="B145" s="620"/>
      <c r="C145" s="620"/>
    </row>
    <row r="146" spans="2:3" ht="15.75" customHeight="1" x14ac:dyDescent="0.25">
      <c r="B146" s="620"/>
      <c r="C146" s="620"/>
    </row>
    <row r="147" spans="2:3" ht="15.75" customHeight="1" x14ac:dyDescent="0.25">
      <c r="B147" s="620"/>
      <c r="C147" s="620"/>
    </row>
    <row r="148" spans="2:3" ht="15.75" customHeight="1" x14ac:dyDescent="0.25">
      <c r="B148" s="620"/>
      <c r="C148" s="620"/>
    </row>
    <row r="149" spans="2:3" ht="15.75" customHeight="1" x14ac:dyDescent="0.25">
      <c r="B149" s="620"/>
      <c r="C149" s="620"/>
    </row>
    <row r="150" spans="2:3" ht="15.75" customHeight="1" x14ac:dyDescent="0.25">
      <c r="B150" s="620"/>
      <c r="C150" s="620"/>
    </row>
    <row r="151" spans="2:3" ht="15.75" customHeight="1" x14ac:dyDescent="0.25">
      <c r="B151" s="620"/>
      <c r="C151" s="620"/>
    </row>
    <row r="152" spans="2:3" ht="15.75" customHeight="1" x14ac:dyDescent="0.25">
      <c r="B152" s="620"/>
      <c r="C152" s="620"/>
    </row>
    <row r="153" spans="2:3" ht="15.75" customHeight="1" x14ac:dyDescent="0.25">
      <c r="B153" s="620"/>
      <c r="C153" s="620"/>
    </row>
    <row r="154" spans="2:3" ht="15.75" customHeight="1" x14ac:dyDescent="0.25">
      <c r="B154" s="620"/>
      <c r="C154" s="620"/>
    </row>
    <row r="155" spans="2:3" ht="15.75" customHeight="1" x14ac:dyDescent="0.25">
      <c r="B155" s="620"/>
      <c r="C155" s="620"/>
    </row>
    <row r="156" spans="2:3" ht="15.75" customHeight="1" x14ac:dyDescent="0.25">
      <c r="B156" s="620"/>
      <c r="C156" s="620"/>
    </row>
    <row r="157" spans="2:3" ht="15.75" customHeight="1" x14ac:dyDescent="0.25">
      <c r="B157" s="620"/>
      <c r="C157" s="620"/>
    </row>
    <row r="158" spans="2:3" ht="15.75" customHeight="1" x14ac:dyDescent="0.25">
      <c r="B158" s="620"/>
      <c r="C158" s="620"/>
    </row>
    <row r="159" spans="2:3" ht="15.75" customHeight="1" x14ac:dyDescent="0.25">
      <c r="B159" s="620"/>
      <c r="C159" s="620"/>
    </row>
    <row r="160" spans="2:3" ht="15.75" customHeight="1" x14ac:dyDescent="0.25">
      <c r="B160" s="620"/>
      <c r="C160" s="620"/>
    </row>
    <row r="161" spans="2:3" ht="15.75" customHeight="1" x14ac:dyDescent="0.25">
      <c r="B161" s="620"/>
      <c r="C161" s="620"/>
    </row>
    <row r="162" spans="2:3" ht="15.75" customHeight="1" x14ac:dyDescent="0.25">
      <c r="B162" s="620"/>
      <c r="C162" s="620"/>
    </row>
    <row r="163" spans="2:3" ht="15.75" customHeight="1" x14ac:dyDescent="0.25">
      <c r="B163" s="620"/>
      <c r="C163" s="620"/>
    </row>
    <row r="164" spans="2:3" ht="15.75" customHeight="1" x14ac:dyDescent="0.25">
      <c r="B164" s="620"/>
      <c r="C164" s="620"/>
    </row>
    <row r="165" spans="2:3" ht="15.75" customHeight="1" x14ac:dyDescent="0.25">
      <c r="B165" s="620"/>
      <c r="C165" s="620"/>
    </row>
    <row r="166" spans="2:3" ht="15.75" customHeight="1" x14ac:dyDescent="0.25">
      <c r="B166" s="620"/>
      <c r="C166" s="620"/>
    </row>
    <row r="167" spans="2:3" ht="15.75" customHeight="1" x14ac:dyDescent="0.25">
      <c r="B167" s="620"/>
      <c r="C167" s="620"/>
    </row>
    <row r="168" spans="2:3" ht="15.75" customHeight="1" x14ac:dyDescent="0.25">
      <c r="B168" s="620"/>
      <c r="C168" s="620"/>
    </row>
    <row r="169" spans="2:3" ht="15.75" customHeight="1" x14ac:dyDescent="0.25">
      <c r="B169" s="620"/>
      <c r="C169" s="620"/>
    </row>
    <row r="170" spans="2:3" ht="15.75" customHeight="1" x14ac:dyDescent="0.25">
      <c r="B170" s="620"/>
      <c r="C170" s="620"/>
    </row>
    <row r="171" spans="2:3" ht="15.75" customHeight="1" x14ac:dyDescent="0.25">
      <c r="B171" s="620"/>
      <c r="C171" s="620"/>
    </row>
    <row r="172" spans="2:3" ht="15.75" customHeight="1" x14ac:dyDescent="0.25">
      <c r="B172" s="620"/>
      <c r="C172" s="620"/>
    </row>
    <row r="173" spans="2:3" ht="15.75" customHeight="1" x14ac:dyDescent="0.25">
      <c r="B173" s="620"/>
      <c r="C173" s="620"/>
    </row>
    <row r="174" spans="2:3" ht="15.75" customHeight="1" x14ac:dyDescent="0.25">
      <c r="B174" s="620"/>
      <c r="C174" s="620"/>
    </row>
    <row r="175" spans="2:3" ht="15.75" customHeight="1" x14ac:dyDescent="0.25">
      <c r="B175" s="620"/>
      <c r="C175" s="620"/>
    </row>
    <row r="176" spans="2:3" ht="15.75" customHeight="1" x14ac:dyDescent="0.25">
      <c r="B176" s="620"/>
      <c r="C176" s="620"/>
    </row>
    <row r="177" spans="2:3" ht="15.75" customHeight="1" x14ac:dyDescent="0.25">
      <c r="B177" s="620"/>
      <c r="C177" s="620"/>
    </row>
    <row r="178" spans="2:3" ht="15.75" customHeight="1" x14ac:dyDescent="0.25">
      <c r="B178" s="620"/>
      <c r="C178" s="620"/>
    </row>
    <row r="179" spans="2:3" ht="15.75" customHeight="1" x14ac:dyDescent="0.25">
      <c r="B179" s="620"/>
      <c r="C179" s="620"/>
    </row>
    <row r="180" spans="2:3" ht="15.75" customHeight="1" x14ac:dyDescent="0.25">
      <c r="B180" s="620"/>
      <c r="C180" s="620"/>
    </row>
    <row r="181" spans="2:3" ht="15.75" customHeight="1" x14ac:dyDescent="0.25">
      <c r="B181" s="620"/>
      <c r="C181" s="620"/>
    </row>
    <row r="182" spans="2:3" ht="15.75" customHeight="1" x14ac:dyDescent="0.25">
      <c r="B182" s="620"/>
      <c r="C182" s="620"/>
    </row>
    <row r="183" spans="2:3" ht="15.75" customHeight="1" x14ac:dyDescent="0.25">
      <c r="B183" s="620"/>
      <c r="C183" s="620"/>
    </row>
    <row r="184" spans="2:3" ht="15.75" customHeight="1" x14ac:dyDescent="0.25">
      <c r="B184" s="620"/>
      <c r="C184" s="620"/>
    </row>
    <row r="185" spans="2:3" ht="15.75" customHeight="1" x14ac:dyDescent="0.25">
      <c r="B185" s="620"/>
      <c r="C185" s="620"/>
    </row>
    <row r="186" spans="2:3" ht="15.75" customHeight="1" x14ac:dyDescent="0.25">
      <c r="B186" s="620"/>
      <c r="C186" s="620"/>
    </row>
    <row r="187" spans="2:3" ht="15.75" customHeight="1" x14ac:dyDescent="0.25">
      <c r="B187" s="620"/>
      <c r="C187" s="620"/>
    </row>
    <row r="188" spans="2:3" ht="15.75" customHeight="1" x14ac:dyDescent="0.25">
      <c r="B188" s="620"/>
      <c r="C188" s="620"/>
    </row>
    <row r="189" spans="2:3" ht="15.75" customHeight="1" x14ac:dyDescent="0.25">
      <c r="B189" s="620"/>
      <c r="C189" s="620"/>
    </row>
    <row r="190" spans="2:3" ht="15.75" customHeight="1" x14ac:dyDescent="0.25">
      <c r="B190" s="620"/>
      <c r="C190" s="620"/>
    </row>
    <row r="191" spans="2:3" ht="15.75" customHeight="1" x14ac:dyDescent="0.25">
      <c r="B191" s="620"/>
      <c r="C191" s="620"/>
    </row>
    <row r="192" spans="2:3" ht="15.75" customHeight="1" x14ac:dyDescent="0.25">
      <c r="B192" s="620"/>
      <c r="C192" s="620"/>
    </row>
    <row r="193" spans="2:3" ht="15.75" customHeight="1" x14ac:dyDescent="0.25">
      <c r="B193" s="620"/>
      <c r="C193" s="620"/>
    </row>
    <row r="194" spans="2:3" ht="15.75" customHeight="1" x14ac:dyDescent="0.25">
      <c r="B194" s="620"/>
      <c r="C194" s="620"/>
    </row>
    <row r="195" spans="2:3" ht="15.75" customHeight="1" x14ac:dyDescent="0.25">
      <c r="B195" s="620"/>
      <c r="C195" s="620"/>
    </row>
    <row r="196" spans="2:3" ht="15.75" customHeight="1" x14ac:dyDescent="0.25">
      <c r="B196" s="620"/>
      <c r="C196" s="620"/>
    </row>
    <row r="197" spans="2:3" ht="15.75" customHeight="1" x14ac:dyDescent="0.25">
      <c r="B197" s="620"/>
      <c r="C197" s="620"/>
    </row>
    <row r="198" spans="2:3" ht="15.75" customHeight="1" x14ac:dyDescent="0.25">
      <c r="B198" s="620"/>
      <c r="C198" s="620"/>
    </row>
    <row r="199" spans="2:3" ht="15.75" customHeight="1" x14ac:dyDescent="0.25">
      <c r="B199" s="620"/>
      <c r="C199" s="620"/>
    </row>
    <row r="200" spans="2:3" ht="15.75" customHeight="1" x14ac:dyDescent="0.25">
      <c r="B200" s="620"/>
      <c r="C200" s="620"/>
    </row>
    <row r="201" spans="2:3" ht="15.75" customHeight="1" x14ac:dyDescent="0.25">
      <c r="B201" s="620"/>
      <c r="C201" s="620"/>
    </row>
    <row r="202" spans="2:3" ht="15.75" customHeight="1" x14ac:dyDescent="0.25">
      <c r="B202" s="620"/>
      <c r="C202" s="620"/>
    </row>
    <row r="203" spans="2:3" ht="15.75" customHeight="1" x14ac:dyDescent="0.25">
      <c r="B203" s="620"/>
      <c r="C203" s="620"/>
    </row>
    <row r="204" spans="2:3" ht="15.75" customHeight="1" x14ac:dyDescent="0.25">
      <c r="B204" s="620"/>
      <c r="C204" s="620"/>
    </row>
    <row r="205" spans="2:3" ht="15.75" customHeight="1" x14ac:dyDescent="0.25">
      <c r="B205" s="620"/>
      <c r="C205" s="620"/>
    </row>
    <row r="206" spans="2:3" ht="15.75" customHeight="1" x14ac:dyDescent="0.25">
      <c r="B206" s="620"/>
      <c r="C206" s="620"/>
    </row>
    <row r="207" spans="2:3" ht="15.75" customHeight="1" x14ac:dyDescent="0.25">
      <c r="B207" s="620"/>
      <c r="C207" s="620"/>
    </row>
    <row r="208" spans="2:3" ht="15.75" customHeight="1" x14ac:dyDescent="0.25">
      <c r="B208" s="620"/>
      <c r="C208" s="620"/>
    </row>
    <row r="209" spans="2:3" ht="15.75" customHeight="1" x14ac:dyDescent="0.25">
      <c r="B209" s="620"/>
      <c r="C209" s="620"/>
    </row>
    <row r="210" spans="2:3" ht="15.75" customHeight="1" x14ac:dyDescent="0.25">
      <c r="B210" s="620"/>
      <c r="C210" s="620"/>
    </row>
    <row r="211" spans="2:3" ht="15.75" customHeight="1" x14ac:dyDescent="0.25">
      <c r="B211" s="620"/>
      <c r="C211" s="620"/>
    </row>
    <row r="212" spans="2:3" ht="15.75" customHeight="1" x14ac:dyDescent="0.25">
      <c r="B212" s="620"/>
      <c r="C212" s="620"/>
    </row>
    <row r="213" spans="2:3" ht="15.75" customHeight="1" x14ac:dyDescent="0.25">
      <c r="B213" s="620"/>
      <c r="C213" s="620"/>
    </row>
    <row r="214" spans="2:3" ht="15.75" customHeight="1" x14ac:dyDescent="0.25">
      <c r="B214" s="620"/>
      <c r="C214" s="620"/>
    </row>
    <row r="215" spans="2:3" ht="15.75" customHeight="1" x14ac:dyDescent="0.25">
      <c r="B215" s="620"/>
      <c r="C215" s="620"/>
    </row>
    <row r="216" spans="2:3" ht="15.75" customHeight="1" x14ac:dyDescent="0.25">
      <c r="B216" s="620"/>
      <c r="C216" s="620"/>
    </row>
    <row r="217" spans="2:3" ht="15.75" customHeight="1" x14ac:dyDescent="0.25">
      <c r="B217" s="620"/>
      <c r="C217" s="620"/>
    </row>
    <row r="218" spans="2:3" ht="15.75" customHeight="1" x14ac:dyDescent="0.25">
      <c r="B218" s="620"/>
      <c r="C218" s="620"/>
    </row>
    <row r="219" spans="2:3" ht="15.75" customHeight="1" x14ac:dyDescent="0.25">
      <c r="B219" s="620"/>
      <c r="C219" s="620"/>
    </row>
    <row r="220" spans="2:3" ht="15.75" customHeight="1" x14ac:dyDescent="0.25">
      <c r="B220" s="620"/>
      <c r="C220" s="620"/>
    </row>
    <row r="221" spans="2:3" ht="15.75" customHeight="1" x14ac:dyDescent="0.25">
      <c r="B221" s="620"/>
      <c r="C221" s="620"/>
    </row>
    <row r="222" spans="2:3" ht="15.75" customHeight="1" x14ac:dyDescent="0.25">
      <c r="B222" s="620"/>
      <c r="C222" s="620"/>
    </row>
    <row r="223" spans="2:3" ht="15.75" customHeight="1" x14ac:dyDescent="0.25">
      <c r="B223" s="620"/>
      <c r="C223" s="620"/>
    </row>
    <row r="224" spans="2:3" ht="15.75" customHeight="1" x14ac:dyDescent="0.25">
      <c r="B224" s="620"/>
      <c r="C224" s="620"/>
    </row>
    <row r="225" spans="2:3" ht="15.75" customHeight="1" x14ac:dyDescent="0.25">
      <c r="B225" s="620"/>
      <c r="C225" s="620"/>
    </row>
    <row r="226" spans="2:3" ht="15.75" customHeight="1" x14ac:dyDescent="0.25">
      <c r="B226" s="620"/>
      <c r="C226" s="620"/>
    </row>
    <row r="227" spans="2:3" ht="15.75" customHeight="1" x14ac:dyDescent="0.25">
      <c r="B227" s="620"/>
      <c r="C227" s="620"/>
    </row>
    <row r="228" spans="2:3" ht="15.75" customHeight="1" x14ac:dyDescent="0.25">
      <c r="B228" s="620"/>
      <c r="C228" s="620"/>
    </row>
    <row r="229" spans="2:3" ht="15.75" customHeight="1" x14ac:dyDescent="0.25">
      <c r="B229" s="620"/>
      <c r="C229" s="620"/>
    </row>
    <row r="230" spans="2:3" ht="15.75" customHeight="1" x14ac:dyDescent="0.25">
      <c r="B230" s="620"/>
      <c r="C230" s="620"/>
    </row>
    <row r="231" spans="2:3" ht="15.75" customHeight="1" x14ac:dyDescent="0.25">
      <c r="B231" s="620"/>
      <c r="C231" s="620"/>
    </row>
    <row r="232" spans="2:3" ht="15.75" customHeight="1" x14ac:dyDescent="0.25">
      <c r="B232" s="620"/>
      <c r="C232" s="620"/>
    </row>
    <row r="233" spans="2:3" ht="15.75" customHeight="1" x14ac:dyDescent="0.25">
      <c r="B233" s="620"/>
      <c r="C233" s="620"/>
    </row>
    <row r="234" spans="2:3" ht="15.75" customHeight="1" x14ac:dyDescent="0.25">
      <c r="B234" s="620"/>
      <c r="C234" s="620"/>
    </row>
    <row r="235" spans="2:3" ht="15.75" customHeight="1" x14ac:dyDescent="0.25">
      <c r="B235" s="620"/>
      <c r="C235" s="620"/>
    </row>
    <row r="236" spans="2:3" ht="15.75" customHeight="1" x14ac:dyDescent="0.25">
      <c r="B236" s="620"/>
      <c r="C236" s="620"/>
    </row>
    <row r="237" spans="2:3" ht="15.75" customHeight="1" x14ac:dyDescent="0.25">
      <c r="B237" s="620"/>
      <c r="C237" s="620"/>
    </row>
    <row r="238" spans="2:3" ht="15.75" customHeight="1" x14ac:dyDescent="0.25">
      <c r="B238" s="620"/>
      <c r="C238" s="620"/>
    </row>
    <row r="239" spans="2:3" ht="15.75" customHeight="1" x14ac:dyDescent="0.25">
      <c r="B239" s="620"/>
      <c r="C239" s="620"/>
    </row>
    <row r="240" spans="2:3" ht="15.75" customHeight="1" x14ac:dyDescent="0.25">
      <c r="B240" s="620"/>
      <c r="C240" s="620"/>
    </row>
    <row r="241" spans="2:3" ht="15.75" customHeight="1" x14ac:dyDescent="0.25">
      <c r="B241" s="620"/>
      <c r="C241" s="620"/>
    </row>
    <row r="242" spans="2:3" ht="15.75" customHeight="1" x14ac:dyDescent="0.25">
      <c r="B242" s="620"/>
      <c r="C242" s="620"/>
    </row>
    <row r="243" spans="2:3" ht="15.75" customHeight="1" x14ac:dyDescent="0.25">
      <c r="B243" s="620"/>
      <c r="C243" s="620"/>
    </row>
    <row r="244" spans="2:3" ht="15.75" customHeight="1" x14ac:dyDescent="0.25">
      <c r="B244" s="620"/>
      <c r="C244" s="620"/>
    </row>
    <row r="245" spans="2:3" ht="15.75" customHeight="1" x14ac:dyDescent="0.25">
      <c r="B245" s="620"/>
      <c r="C245" s="620"/>
    </row>
    <row r="246" spans="2:3" ht="15.75" customHeight="1" x14ac:dyDescent="0.25">
      <c r="B246" s="620"/>
      <c r="C246" s="620"/>
    </row>
    <row r="247" spans="2:3" ht="15.75" customHeight="1" x14ac:dyDescent="0.25">
      <c r="B247" s="620"/>
      <c r="C247" s="620"/>
    </row>
    <row r="248" spans="2:3" ht="15.75" customHeight="1" x14ac:dyDescent="0.25">
      <c r="B248" s="620"/>
      <c r="C248" s="620"/>
    </row>
    <row r="249" spans="2:3" ht="15.75" customHeight="1" x14ac:dyDescent="0.25">
      <c r="B249" s="620"/>
      <c r="C249" s="620"/>
    </row>
    <row r="250" spans="2:3" ht="15.75" customHeight="1" x14ac:dyDescent="0.25">
      <c r="B250" s="620"/>
      <c r="C250" s="620"/>
    </row>
    <row r="251" spans="2:3" ht="15.75" customHeight="1" x14ac:dyDescent="0.25">
      <c r="B251" s="620"/>
      <c r="C251" s="620"/>
    </row>
    <row r="252" spans="2:3" ht="15.75" customHeight="1" x14ac:dyDescent="0.25">
      <c r="B252" s="620"/>
      <c r="C252" s="620"/>
    </row>
    <row r="253" spans="2:3" ht="15.75" customHeight="1" x14ac:dyDescent="0.25">
      <c r="B253" s="620"/>
      <c r="C253" s="620"/>
    </row>
    <row r="254" spans="2:3" ht="15.75" customHeight="1" x14ac:dyDescent="0.25">
      <c r="B254" s="620"/>
      <c r="C254" s="620"/>
    </row>
    <row r="255" spans="2:3" ht="15.75" customHeight="1" x14ac:dyDescent="0.25">
      <c r="B255" s="620"/>
      <c r="C255" s="620"/>
    </row>
    <row r="256" spans="2:3" ht="15.75" customHeight="1" x14ac:dyDescent="0.25">
      <c r="B256" s="620"/>
      <c r="C256" s="620"/>
    </row>
    <row r="257" spans="2:3" ht="15.75" customHeight="1" x14ac:dyDescent="0.25">
      <c r="B257" s="620"/>
      <c r="C257" s="620"/>
    </row>
    <row r="258" spans="2:3" ht="15.75" customHeight="1" x14ac:dyDescent="0.25">
      <c r="B258" s="620"/>
      <c r="C258" s="620"/>
    </row>
    <row r="259" spans="2:3" ht="15.75" customHeight="1" x14ac:dyDescent="0.25">
      <c r="B259" s="620"/>
      <c r="C259" s="620"/>
    </row>
    <row r="260" spans="2:3" ht="15.75" customHeight="1" x14ac:dyDescent="0.25">
      <c r="B260" s="620"/>
      <c r="C260" s="620"/>
    </row>
    <row r="261" spans="2:3" ht="15.75" customHeight="1" x14ac:dyDescent="0.25">
      <c r="B261" s="620"/>
      <c r="C261" s="620"/>
    </row>
    <row r="262" spans="2:3" ht="15.75" customHeight="1" x14ac:dyDescent="0.25">
      <c r="B262" s="620"/>
      <c r="C262" s="620"/>
    </row>
    <row r="263" spans="2:3" ht="15.75" customHeight="1" x14ac:dyDescent="0.25">
      <c r="B263" s="620"/>
      <c r="C263" s="620"/>
    </row>
    <row r="264" spans="2:3" ht="15.75" customHeight="1" x14ac:dyDescent="0.25">
      <c r="B264" s="620"/>
      <c r="C264" s="620"/>
    </row>
    <row r="265" spans="2:3" ht="15.75" customHeight="1" x14ac:dyDescent="0.25">
      <c r="B265" s="620"/>
      <c r="C265" s="620"/>
    </row>
    <row r="266" spans="2:3" ht="15.75" customHeight="1" x14ac:dyDescent="0.25">
      <c r="B266" s="620"/>
      <c r="C266" s="620"/>
    </row>
    <row r="267" spans="2:3" ht="15.75" customHeight="1" x14ac:dyDescent="0.25">
      <c r="B267" s="620"/>
      <c r="C267" s="620"/>
    </row>
    <row r="268" spans="2:3" ht="15.75" customHeight="1" x14ac:dyDescent="0.25">
      <c r="B268" s="620"/>
      <c r="C268" s="620"/>
    </row>
    <row r="269" spans="2:3" ht="15.75" customHeight="1" x14ac:dyDescent="0.25">
      <c r="B269" s="620"/>
      <c r="C269" s="620"/>
    </row>
    <row r="270" spans="2:3" ht="15.75" customHeight="1" x14ac:dyDescent="0.25">
      <c r="B270" s="620"/>
      <c r="C270" s="620"/>
    </row>
    <row r="271" spans="2:3" ht="15.75" customHeight="1" x14ac:dyDescent="0.25">
      <c r="B271" s="620"/>
      <c r="C271" s="620"/>
    </row>
    <row r="272" spans="2:3" ht="15.75" customHeight="1" x14ac:dyDescent="0.25">
      <c r="B272" s="620"/>
      <c r="C272" s="620"/>
    </row>
    <row r="273" spans="2:3" ht="15.75" customHeight="1" x14ac:dyDescent="0.25">
      <c r="B273" s="620"/>
      <c r="C273" s="620"/>
    </row>
    <row r="274" spans="2:3" ht="15.75" customHeight="1" x14ac:dyDescent="0.25">
      <c r="B274" s="620"/>
      <c r="C274" s="620"/>
    </row>
    <row r="275" spans="2:3" ht="15.75" customHeight="1" x14ac:dyDescent="0.25">
      <c r="B275" s="620"/>
      <c r="C275" s="620"/>
    </row>
    <row r="276" spans="2:3" ht="15.75" customHeight="1" x14ac:dyDescent="0.25">
      <c r="B276" s="620"/>
      <c r="C276" s="620"/>
    </row>
    <row r="277" spans="2:3" ht="15.75" customHeight="1" x14ac:dyDescent="0.25">
      <c r="B277" s="620"/>
      <c r="C277" s="620"/>
    </row>
    <row r="278" spans="2:3" ht="15.75" customHeight="1" x14ac:dyDescent="0.25">
      <c r="B278" s="620"/>
      <c r="C278" s="620"/>
    </row>
    <row r="279" spans="2:3" ht="15.75" customHeight="1" x14ac:dyDescent="0.25"/>
    <row r="280" spans="2:3" ht="15.75" customHeight="1" x14ac:dyDescent="0.25"/>
    <row r="281" spans="2:3" ht="15.75" customHeight="1" x14ac:dyDescent="0.25"/>
    <row r="282" spans="2:3" ht="15.75" customHeight="1" x14ac:dyDescent="0.25"/>
    <row r="283" spans="2:3" ht="15.75" customHeight="1" x14ac:dyDescent="0.25"/>
    <row r="284" spans="2:3" ht="15.75" customHeight="1" x14ac:dyDescent="0.25"/>
    <row r="285" spans="2:3" ht="15.75" customHeight="1" x14ac:dyDescent="0.25"/>
    <row r="286" spans="2:3" ht="15.75" customHeight="1" x14ac:dyDescent="0.25"/>
    <row r="287" spans="2:3" ht="15.75" customHeight="1" x14ac:dyDescent="0.25"/>
    <row r="288" spans="2:3"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autoFilter ref="A1:D78">
    <filterColumn colId="2">
      <filters>
        <filter val="JET  VIVI"/>
        <filter val="JET"/>
      </filters>
    </filterColumn>
  </autoFilter>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C1000"/>
  <sheetViews>
    <sheetView workbookViewId="0"/>
  </sheetViews>
  <sheetFormatPr baseColWidth="10" defaultColWidth="11.25" defaultRowHeight="15" customHeight="1" x14ac:dyDescent="0.25"/>
  <cols>
    <col min="1" max="1" width="36" customWidth="1"/>
    <col min="2" max="2" width="18.75" customWidth="1"/>
    <col min="3" max="4" width="10.375" customWidth="1"/>
  </cols>
  <sheetData>
    <row r="1" spans="1:3" ht="15.75" x14ac:dyDescent="0.25">
      <c r="A1" s="623" t="s">
        <v>35</v>
      </c>
      <c r="B1" s="626" t="s">
        <v>1195</v>
      </c>
    </row>
    <row r="2" spans="1:3" ht="22.5" customHeight="1" x14ac:dyDescent="0.25">
      <c r="A2" s="212" t="s">
        <v>111</v>
      </c>
      <c r="B2" s="384" t="s">
        <v>1198</v>
      </c>
      <c r="C2" s="622">
        <v>1</v>
      </c>
    </row>
    <row r="3" spans="1:3" ht="22.5" customHeight="1" x14ac:dyDescent="0.25">
      <c r="A3" s="42" t="s">
        <v>155</v>
      </c>
      <c r="B3" s="384" t="s">
        <v>1198</v>
      </c>
      <c r="C3" s="622">
        <v>2</v>
      </c>
    </row>
    <row r="4" spans="1:3" ht="22.5" customHeight="1" x14ac:dyDescent="0.25">
      <c r="A4" s="42" t="s">
        <v>173</v>
      </c>
      <c r="B4" s="384" t="s">
        <v>1198</v>
      </c>
      <c r="C4" s="622">
        <v>3</v>
      </c>
    </row>
    <row r="5" spans="1:3" ht="22.5" customHeight="1" x14ac:dyDescent="0.25">
      <c r="A5" s="77" t="s">
        <v>237</v>
      </c>
      <c r="B5" s="384" t="s">
        <v>1198</v>
      </c>
      <c r="C5" s="622">
        <v>4</v>
      </c>
    </row>
    <row r="6" spans="1:3" ht="33.75" customHeight="1" x14ac:dyDescent="0.25">
      <c r="A6" s="42" t="s">
        <v>272</v>
      </c>
      <c r="B6" s="384" t="s">
        <v>1198</v>
      </c>
      <c r="C6" s="622">
        <v>5</v>
      </c>
    </row>
    <row r="7" spans="1:3" ht="22.5" customHeight="1" x14ac:dyDescent="0.25">
      <c r="A7" s="42" t="s">
        <v>300</v>
      </c>
      <c r="B7" s="384" t="s">
        <v>1198</v>
      </c>
      <c r="C7" s="622">
        <v>6</v>
      </c>
    </row>
    <row r="8" spans="1:3" ht="22.5" customHeight="1" x14ac:dyDescent="0.25">
      <c r="A8" s="42" t="s">
        <v>344</v>
      </c>
      <c r="B8" s="384" t="s">
        <v>1198</v>
      </c>
      <c r="C8" s="622">
        <v>7</v>
      </c>
    </row>
    <row r="9" spans="1:3" ht="22.5" customHeight="1" x14ac:dyDescent="0.25">
      <c r="A9" s="42" t="s">
        <v>220</v>
      </c>
      <c r="B9" s="384" t="s">
        <v>1198</v>
      </c>
      <c r="C9" s="622">
        <v>8</v>
      </c>
    </row>
    <row r="10" spans="1:3" ht="22.5" customHeight="1" x14ac:dyDescent="0.25">
      <c r="A10" s="42" t="s">
        <v>314</v>
      </c>
      <c r="B10" s="384" t="s">
        <v>1198</v>
      </c>
      <c r="C10" s="622">
        <v>9</v>
      </c>
    </row>
    <row r="11" spans="1:3" ht="22.5" customHeight="1" x14ac:dyDescent="0.25">
      <c r="A11" s="42" t="s">
        <v>256</v>
      </c>
      <c r="B11" s="384" t="s">
        <v>1198</v>
      </c>
      <c r="C11" s="622">
        <v>10</v>
      </c>
    </row>
    <row r="12" spans="1:3" ht="22.5" customHeight="1" x14ac:dyDescent="0.25">
      <c r="A12" s="42" t="s">
        <v>285</v>
      </c>
      <c r="B12" s="384" t="s">
        <v>1198</v>
      </c>
      <c r="C12" s="622">
        <v>11</v>
      </c>
    </row>
    <row r="13" spans="1:3" ht="22.5" hidden="1" customHeight="1" x14ac:dyDescent="0.25">
      <c r="A13" s="42" t="s">
        <v>359</v>
      </c>
      <c r="B13" s="384"/>
    </row>
    <row r="14" spans="1:3" ht="22.5" customHeight="1" x14ac:dyDescent="0.25">
      <c r="A14" s="77" t="s">
        <v>406</v>
      </c>
      <c r="B14" s="384" t="s">
        <v>1198</v>
      </c>
      <c r="C14" s="622">
        <v>12</v>
      </c>
    </row>
    <row r="15" spans="1:3" ht="22.5" hidden="1" customHeight="1" x14ac:dyDescent="0.25">
      <c r="A15" s="42" t="s">
        <v>371</v>
      </c>
      <c r="B15" s="384" t="s">
        <v>1202</v>
      </c>
    </row>
    <row r="16" spans="1:3" ht="22.5" hidden="1" customHeight="1" x14ac:dyDescent="0.25">
      <c r="A16" s="77" t="s">
        <v>566</v>
      </c>
      <c r="B16" s="384"/>
    </row>
    <row r="17" spans="1:3" ht="22.5" hidden="1" customHeight="1" x14ac:dyDescent="0.25">
      <c r="A17" s="42" t="s">
        <v>579</v>
      </c>
      <c r="B17" s="384"/>
    </row>
    <row r="18" spans="1:3" ht="22.5" customHeight="1" x14ac:dyDescent="0.25">
      <c r="A18" s="42" t="s">
        <v>420</v>
      </c>
      <c r="B18" s="384" t="s">
        <v>1198</v>
      </c>
      <c r="C18" s="622">
        <v>13</v>
      </c>
    </row>
    <row r="19" spans="1:3" ht="22.5" hidden="1" customHeight="1" x14ac:dyDescent="0.25">
      <c r="A19" s="42" t="s">
        <v>445</v>
      </c>
      <c r="B19" s="384"/>
    </row>
    <row r="20" spans="1:3" ht="22.5" customHeight="1" x14ac:dyDescent="0.25">
      <c r="A20" s="42" t="s">
        <v>432</v>
      </c>
      <c r="B20" s="384" t="s">
        <v>1198</v>
      </c>
      <c r="C20" s="622">
        <v>14</v>
      </c>
    </row>
    <row r="21" spans="1:3" ht="22.5" customHeight="1" x14ac:dyDescent="0.25">
      <c r="A21" s="42" t="s">
        <v>456</v>
      </c>
      <c r="B21" s="384" t="s">
        <v>1198</v>
      </c>
      <c r="C21" s="622">
        <v>15</v>
      </c>
    </row>
    <row r="22" spans="1:3" ht="22.5" customHeight="1" x14ac:dyDescent="0.25">
      <c r="A22" s="42" t="s">
        <v>472</v>
      </c>
      <c r="B22" s="384" t="s">
        <v>1198</v>
      </c>
      <c r="C22" s="622">
        <v>16</v>
      </c>
    </row>
    <row r="23" spans="1:3" ht="22.5" customHeight="1" x14ac:dyDescent="0.25">
      <c r="A23" s="42" t="s">
        <v>485</v>
      </c>
      <c r="B23" s="384" t="s">
        <v>1198</v>
      </c>
      <c r="C23" s="622">
        <v>17</v>
      </c>
    </row>
    <row r="24" spans="1:3" ht="22.5" hidden="1" customHeight="1" x14ac:dyDescent="0.25">
      <c r="A24" s="42" t="s">
        <v>496</v>
      </c>
      <c r="B24" s="384"/>
    </row>
    <row r="25" spans="1:3" ht="22.5" hidden="1" customHeight="1" x14ac:dyDescent="0.25">
      <c r="A25" s="42" t="s">
        <v>507</v>
      </c>
      <c r="B25" s="384"/>
    </row>
    <row r="26" spans="1:3" ht="22.5" hidden="1" customHeight="1" x14ac:dyDescent="0.25">
      <c r="A26" s="39" t="s">
        <v>519</v>
      </c>
      <c r="B26" s="384"/>
    </row>
    <row r="27" spans="1:3" ht="22.5" customHeight="1" x14ac:dyDescent="0.25">
      <c r="A27" s="42" t="s">
        <v>531</v>
      </c>
      <c r="B27" s="384" t="s">
        <v>1198</v>
      </c>
      <c r="C27" s="622">
        <v>18</v>
      </c>
    </row>
    <row r="28" spans="1:3" ht="22.5" hidden="1" customHeight="1" x14ac:dyDescent="0.25">
      <c r="A28" s="42" t="s">
        <v>1224</v>
      </c>
      <c r="B28" s="384"/>
    </row>
    <row r="29" spans="1:3" ht="22.5" customHeight="1" x14ac:dyDescent="0.25">
      <c r="A29" s="255" t="s">
        <v>134</v>
      </c>
      <c r="B29" s="384" t="s">
        <v>1198</v>
      </c>
      <c r="C29" s="622">
        <v>19</v>
      </c>
    </row>
    <row r="30" spans="1:3" ht="22.5" hidden="1" customHeight="1" x14ac:dyDescent="0.25">
      <c r="A30" s="42" t="s">
        <v>553</v>
      </c>
      <c r="B30" s="384" t="s">
        <v>1202</v>
      </c>
    </row>
    <row r="31" spans="1:3" ht="22.5" customHeight="1" x14ac:dyDescent="0.25">
      <c r="A31" s="42" t="s">
        <v>593</v>
      </c>
      <c r="B31" s="384" t="s">
        <v>1198</v>
      </c>
      <c r="C31" s="622">
        <v>20</v>
      </c>
    </row>
    <row r="32" spans="1:3" ht="22.5" customHeight="1" x14ac:dyDescent="0.25">
      <c r="A32" s="42" t="s">
        <v>609</v>
      </c>
      <c r="B32" s="384" t="s">
        <v>1198</v>
      </c>
      <c r="C32" s="622">
        <v>21</v>
      </c>
    </row>
    <row r="33" spans="1:3" ht="22.5" customHeight="1" x14ac:dyDescent="0.25">
      <c r="A33" s="42" t="s">
        <v>623</v>
      </c>
      <c r="B33" s="384" t="s">
        <v>1198</v>
      </c>
      <c r="C33" s="622">
        <v>22</v>
      </c>
    </row>
    <row r="34" spans="1:3" ht="22.5" customHeight="1" x14ac:dyDescent="0.25">
      <c r="A34" s="42" t="s">
        <v>636</v>
      </c>
      <c r="B34" s="384" t="s">
        <v>1198</v>
      </c>
      <c r="C34" s="622">
        <v>23</v>
      </c>
    </row>
    <row r="35" spans="1:3" ht="22.5" customHeight="1" x14ac:dyDescent="0.25">
      <c r="A35" s="42" t="s">
        <v>648</v>
      </c>
      <c r="B35" s="384" t="s">
        <v>1198</v>
      </c>
      <c r="C35" s="622">
        <v>24</v>
      </c>
    </row>
    <row r="36" spans="1:3" ht="22.5" customHeight="1" x14ac:dyDescent="0.25">
      <c r="A36" s="42" t="s">
        <v>331</v>
      </c>
      <c r="B36" s="384" t="s">
        <v>1211</v>
      </c>
      <c r="C36" s="622">
        <v>25</v>
      </c>
    </row>
    <row r="37" spans="1:3" ht="22.5" hidden="1" customHeight="1" x14ac:dyDescent="0.25">
      <c r="A37" s="77" t="s">
        <v>660</v>
      </c>
      <c r="B37" s="384"/>
    </row>
    <row r="38" spans="1:3" ht="22.5" customHeight="1" x14ac:dyDescent="0.25">
      <c r="A38" s="42" t="s">
        <v>672</v>
      </c>
      <c r="B38" s="384" t="s">
        <v>1198</v>
      </c>
      <c r="C38" s="622">
        <v>26</v>
      </c>
    </row>
    <row r="39" spans="1:3" ht="22.5" customHeight="1" x14ac:dyDescent="0.25">
      <c r="A39" s="42" t="s">
        <v>684</v>
      </c>
      <c r="B39" s="384" t="s">
        <v>1198</v>
      </c>
      <c r="C39" s="622">
        <v>27</v>
      </c>
    </row>
    <row r="40" spans="1:3" ht="22.5" hidden="1" customHeight="1" x14ac:dyDescent="0.25">
      <c r="A40" s="42" t="s">
        <v>695</v>
      </c>
      <c r="B40" s="384"/>
    </row>
    <row r="41" spans="1:3" ht="22.5" hidden="1" customHeight="1" x14ac:dyDescent="0.25">
      <c r="A41" s="77" t="s">
        <v>707</v>
      </c>
      <c r="B41" s="384"/>
    </row>
    <row r="42" spans="1:3" ht="22.5" customHeight="1" x14ac:dyDescent="0.25">
      <c r="A42" s="42" t="s">
        <v>720</v>
      </c>
      <c r="B42" s="384" t="s">
        <v>1198</v>
      </c>
      <c r="C42" s="622">
        <v>28</v>
      </c>
    </row>
    <row r="43" spans="1:3" ht="22.5" hidden="1" customHeight="1" x14ac:dyDescent="0.25">
      <c r="A43" s="42" t="s">
        <v>732</v>
      </c>
      <c r="B43" s="384"/>
    </row>
    <row r="44" spans="1:3" ht="22.5" hidden="1" customHeight="1" x14ac:dyDescent="0.25">
      <c r="A44" s="212" t="s">
        <v>745</v>
      </c>
      <c r="B44" s="384" t="s">
        <v>1202</v>
      </c>
    </row>
    <row r="45" spans="1:3" ht="22.5" customHeight="1" x14ac:dyDescent="0.25">
      <c r="A45" s="42" t="s">
        <v>759</v>
      </c>
      <c r="B45" s="384" t="s">
        <v>1198</v>
      </c>
      <c r="C45" s="622">
        <v>29</v>
      </c>
    </row>
    <row r="46" spans="1:3" ht="22.5" customHeight="1" x14ac:dyDescent="0.25">
      <c r="A46" s="212" t="s">
        <v>1214</v>
      </c>
      <c r="B46" s="384" t="s">
        <v>1198</v>
      </c>
      <c r="C46" s="622">
        <v>30</v>
      </c>
    </row>
    <row r="47" spans="1:3" ht="22.5" hidden="1" customHeight="1" x14ac:dyDescent="0.25">
      <c r="A47" s="170" t="s">
        <v>772</v>
      </c>
      <c r="B47" s="384"/>
    </row>
    <row r="48" spans="1:3" ht="22.5" customHeight="1" x14ac:dyDescent="0.25">
      <c r="A48" s="255" t="s">
        <v>783</v>
      </c>
      <c r="B48" s="384" t="s">
        <v>1198</v>
      </c>
      <c r="C48" s="622">
        <v>31</v>
      </c>
    </row>
    <row r="49" spans="1:3" ht="22.5" customHeight="1" x14ac:dyDescent="0.25">
      <c r="A49" s="212" t="s">
        <v>793</v>
      </c>
      <c r="B49" s="384" t="s">
        <v>1198</v>
      </c>
      <c r="C49" s="622">
        <v>32</v>
      </c>
    </row>
    <row r="50" spans="1:3" ht="22.5" hidden="1" customHeight="1" x14ac:dyDescent="0.25">
      <c r="A50" s="42" t="s">
        <v>804</v>
      </c>
      <c r="B50" s="384" t="s">
        <v>1202</v>
      </c>
    </row>
    <row r="51" spans="1:3" ht="22.5" hidden="1" customHeight="1" x14ac:dyDescent="0.25">
      <c r="A51" s="212" t="s">
        <v>1217</v>
      </c>
      <c r="B51" s="384"/>
    </row>
    <row r="52" spans="1:3" ht="22.5" customHeight="1" x14ac:dyDescent="0.25">
      <c r="A52" s="42" t="s">
        <v>390</v>
      </c>
      <c r="B52" s="384" t="s">
        <v>1198</v>
      </c>
      <c r="C52" s="622">
        <v>33</v>
      </c>
    </row>
    <row r="53" spans="1:3" ht="22.5" customHeight="1" x14ac:dyDescent="0.25">
      <c r="A53" s="288" t="s">
        <v>816</v>
      </c>
      <c r="B53" s="384" t="s">
        <v>1198</v>
      </c>
      <c r="C53" s="622">
        <v>34</v>
      </c>
    </row>
    <row r="54" spans="1:3" ht="22.5" customHeight="1" x14ac:dyDescent="0.25">
      <c r="A54" s="288" t="s">
        <v>827</v>
      </c>
      <c r="B54" s="384" t="s">
        <v>1198</v>
      </c>
      <c r="C54" s="622">
        <v>35</v>
      </c>
    </row>
    <row r="55" spans="1:3" ht="22.5" hidden="1" customHeight="1" x14ac:dyDescent="0.25">
      <c r="A55" s="288" t="s">
        <v>839</v>
      </c>
      <c r="B55" s="384"/>
    </row>
    <row r="56" spans="1:3" ht="22.5" customHeight="1" x14ac:dyDescent="0.25">
      <c r="A56" s="77" t="s">
        <v>851</v>
      </c>
      <c r="B56" s="384" t="s">
        <v>1198</v>
      </c>
      <c r="C56" s="622">
        <v>36</v>
      </c>
    </row>
    <row r="57" spans="1:3" ht="22.5" hidden="1" customHeight="1" x14ac:dyDescent="0.25">
      <c r="A57" s="77" t="s">
        <v>863</v>
      </c>
      <c r="B57" s="384"/>
    </row>
    <row r="58" spans="1:3" ht="22.5" customHeight="1" x14ac:dyDescent="0.25">
      <c r="A58" s="77" t="s">
        <v>876</v>
      </c>
      <c r="B58" s="384" t="s">
        <v>1198</v>
      </c>
      <c r="C58" s="622">
        <v>37</v>
      </c>
    </row>
    <row r="59" spans="1:3" ht="22.5" customHeight="1" x14ac:dyDescent="0.25">
      <c r="A59" s="77" t="s">
        <v>887</v>
      </c>
      <c r="B59" s="384" t="s">
        <v>1198</v>
      </c>
      <c r="C59" s="622">
        <v>38</v>
      </c>
    </row>
    <row r="60" spans="1:3" ht="22.5" customHeight="1" x14ac:dyDescent="0.25">
      <c r="A60" s="77" t="s">
        <v>898</v>
      </c>
      <c r="B60" s="384" t="s">
        <v>1198</v>
      </c>
      <c r="C60" s="622">
        <v>39</v>
      </c>
    </row>
    <row r="61" spans="1:3" ht="22.5" customHeight="1" x14ac:dyDescent="0.25">
      <c r="A61" s="42" t="s">
        <v>909</v>
      </c>
      <c r="B61" s="384" t="s">
        <v>1198</v>
      </c>
      <c r="C61" s="622">
        <v>40</v>
      </c>
    </row>
    <row r="62" spans="1:3" ht="22.5" hidden="1" customHeight="1" x14ac:dyDescent="0.25">
      <c r="A62" s="212" t="s">
        <v>922</v>
      </c>
      <c r="B62" s="384" t="s">
        <v>1202</v>
      </c>
    </row>
    <row r="63" spans="1:3" ht="22.5" customHeight="1" x14ac:dyDescent="0.25">
      <c r="A63" s="77" t="s">
        <v>1221</v>
      </c>
      <c r="B63" s="384" t="s">
        <v>1198</v>
      </c>
      <c r="C63" s="622">
        <v>41</v>
      </c>
    </row>
    <row r="64" spans="1:3" ht="22.5" hidden="1" customHeight="1" x14ac:dyDescent="0.25">
      <c r="A64" s="77" t="s">
        <v>934</v>
      </c>
      <c r="B64" s="384" t="s">
        <v>1222</v>
      </c>
    </row>
    <row r="65" spans="1:3" ht="22.5" hidden="1" customHeight="1" x14ac:dyDescent="0.25">
      <c r="A65" s="42" t="s">
        <v>193</v>
      </c>
      <c r="B65" s="384"/>
    </row>
    <row r="66" spans="1:3" ht="22.5" customHeight="1" x14ac:dyDescent="0.25">
      <c r="A66" s="427" t="s">
        <v>945</v>
      </c>
      <c r="B66" s="384" t="s">
        <v>1198</v>
      </c>
      <c r="C66" s="622">
        <v>42</v>
      </c>
    </row>
    <row r="67" spans="1:3" ht="22.5" customHeight="1" x14ac:dyDescent="0.25">
      <c r="A67" s="632" t="s">
        <v>960</v>
      </c>
      <c r="B67" s="384" t="s">
        <v>1198</v>
      </c>
      <c r="C67" s="622">
        <v>43</v>
      </c>
    </row>
    <row r="68" spans="1:3" ht="22.5" hidden="1" customHeight="1" x14ac:dyDescent="0.25">
      <c r="A68" s="427" t="s">
        <v>971</v>
      </c>
      <c r="B68" s="384"/>
    </row>
    <row r="69" spans="1:3" ht="22.5" customHeight="1" x14ac:dyDescent="0.25">
      <c r="A69" s="42" t="s">
        <v>982</v>
      </c>
      <c r="B69" s="384" t="s">
        <v>1198</v>
      </c>
      <c r="C69" s="622">
        <v>44</v>
      </c>
    </row>
    <row r="70" spans="1:3" ht="22.5" hidden="1" customHeight="1" x14ac:dyDescent="0.25">
      <c r="A70" s="42" t="s">
        <v>990</v>
      </c>
      <c r="B70" s="384"/>
    </row>
    <row r="71" spans="1:3" ht="22.5" hidden="1" customHeight="1" x14ac:dyDescent="0.25">
      <c r="A71" s="77" t="s">
        <v>998</v>
      </c>
      <c r="B71" s="384" t="s">
        <v>1222</v>
      </c>
    </row>
    <row r="72" spans="1:3" ht="22.5" customHeight="1" x14ac:dyDescent="0.25">
      <c r="A72" s="42" t="s">
        <v>1010</v>
      </c>
      <c r="B72" s="384" t="s">
        <v>1198</v>
      </c>
      <c r="C72" s="622">
        <v>45</v>
      </c>
    </row>
    <row r="73" spans="1:3" ht="22.5" hidden="1" customHeight="1" x14ac:dyDescent="0.25">
      <c r="A73" s="39" t="s">
        <v>1017</v>
      </c>
      <c r="B73" s="384" t="s">
        <v>1222</v>
      </c>
    </row>
    <row r="74" spans="1:3" ht="22.5" hidden="1" customHeight="1" x14ac:dyDescent="0.25">
      <c r="A74" s="39" t="s">
        <v>1027</v>
      </c>
      <c r="B74" s="384" t="s">
        <v>1202</v>
      </c>
    </row>
    <row r="75" spans="1:3" ht="22.5" hidden="1" customHeight="1" x14ac:dyDescent="0.25">
      <c r="A75" s="633" t="s">
        <v>1225</v>
      </c>
      <c r="B75" s="384"/>
    </row>
    <row r="76" spans="1:3" ht="22.5" hidden="1" customHeight="1" x14ac:dyDescent="0.25">
      <c r="A76" s="255" t="s">
        <v>1223</v>
      </c>
      <c r="B76" s="384"/>
    </row>
    <row r="77" spans="1:3" ht="22.5" hidden="1" customHeight="1" x14ac:dyDescent="0.25">
      <c r="A77" s="42" t="s">
        <v>1051</v>
      </c>
      <c r="B77" s="384"/>
    </row>
    <row r="78" spans="1:3" ht="22.5" hidden="1" customHeight="1" x14ac:dyDescent="0.25">
      <c r="A78" s="77" t="s">
        <v>1064</v>
      </c>
      <c r="B78" s="384"/>
    </row>
    <row r="79" spans="1:3" ht="22.5" hidden="1" customHeight="1" x14ac:dyDescent="0.25">
      <c r="A79" s="212" t="s">
        <v>1074</v>
      </c>
      <c r="B79" s="384"/>
    </row>
    <row r="80" spans="1:3" ht="15.75" hidden="1" customHeight="1" x14ac:dyDescent="0.25"/>
    <row r="81" ht="15.75" hidden="1" customHeight="1" x14ac:dyDescent="0.25"/>
    <row r="82" ht="15.75" hidden="1" customHeight="1" x14ac:dyDescent="0.25"/>
    <row r="83" ht="15.75" hidden="1" customHeight="1" x14ac:dyDescent="0.25"/>
    <row r="84" ht="15.75" hidden="1" customHeight="1" x14ac:dyDescent="0.25"/>
    <row r="85" ht="15.75" hidden="1" customHeight="1" x14ac:dyDescent="0.25"/>
    <row r="86" ht="15.75" hidden="1" customHeight="1" x14ac:dyDescent="0.25"/>
    <row r="87" ht="15.75" hidden="1" customHeight="1" x14ac:dyDescent="0.25"/>
    <row r="88" ht="15.75" hidden="1" customHeight="1" x14ac:dyDescent="0.25"/>
    <row r="89" ht="15.75" hidden="1" customHeight="1" x14ac:dyDescent="0.25"/>
    <row r="90" ht="15.75" hidden="1" customHeight="1" x14ac:dyDescent="0.25"/>
    <row r="91" ht="15.75" hidden="1" customHeight="1" x14ac:dyDescent="0.25"/>
    <row r="92" ht="15.75" hidden="1" customHeight="1" x14ac:dyDescent="0.25"/>
    <row r="93" ht="15.75" hidden="1" customHeight="1" x14ac:dyDescent="0.25"/>
    <row r="94" ht="15.75" hidden="1" customHeight="1" x14ac:dyDescent="0.25"/>
    <row r="95" ht="15.75" hidden="1" customHeight="1" x14ac:dyDescent="0.25"/>
    <row r="96" ht="15.75" hidden="1" customHeight="1" x14ac:dyDescent="0.25"/>
    <row r="97" ht="15.75" hidden="1" customHeight="1" x14ac:dyDescent="0.25"/>
    <row r="98" ht="15.75" hidden="1" customHeight="1" x14ac:dyDescent="0.25"/>
    <row r="99" ht="15.75" hidden="1" customHeight="1" x14ac:dyDescent="0.25"/>
    <row r="100" ht="15.75" hidden="1" customHeight="1" x14ac:dyDescent="0.25"/>
    <row r="101" ht="15.75" hidden="1" customHeight="1" x14ac:dyDescent="0.25"/>
    <row r="102" ht="15.75" hidden="1" customHeight="1" x14ac:dyDescent="0.25"/>
    <row r="103" ht="15.75" hidden="1" customHeight="1" x14ac:dyDescent="0.25"/>
    <row r="104" ht="15.75" hidden="1" customHeight="1" x14ac:dyDescent="0.25"/>
    <row r="105" ht="15.75" hidden="1" customHeight="1" x14ac:dyDescent="0.25"/>
    <row r="106" ht="15.75" hidden="1" customHeight="1" x14ac:dyDescent="0.25"/>
    <row r="107" ht="15.75" hidden="1" customHeight="1" x14ac:dyDescent="0.25"/>
    <row r="108" ht="15.75" hidden="1" customHeight="1" x14ac:dyDescent="0.25"/>
    <row r="109" ht="15.75" hidden="1" customHeight="1" x14ac:dyDescent="0.25"/>
    <row r="110" ht="15.75" hidden="1" customHeight="1" x14ac:dyDescent="0.25"/>
    <row r="111" ht="15.75" hidden="1" customHeight="1" x14ac:dyDescent="0.25"/>
    <row r="112" ht="15.75" hidden="1" customHeight="1" x14ac:dyDescent="0.25"/>
    <row r="113" ht="15.75" hidden="1" customHeight="1" x14ac:dyDescent="0.25"/>
    <row r="114" ht="15.75" hidden="1" customHeight="1" x14ac:dyDescent="0.25"/>
    <row r="115" ht="15.75" hidden="1" customHeight="1" x14ac:dyDescent="0.25"/>
    <row r="116" ht="15.75" hidden="1" customHeight="1" x14ac:dyDescent="0.25"/>
    <row r="117" ht="15.75" hidden="1" customHeight="1" x14ac:dyDescent="0.25"/>
    <row r="118" ht="15.75" hidden="1" customHeight="1" x14ac:dyDescent="0.25"/>
    <row r="119" ht="15.75" hidden="1" customHeight="1" x14ac:dyDescent="0.25"/>
    <row r="120" ht="15.75" hidden="1" customHeight="1" x14ac:dyDescent="0.25"/>
    <row r="121" ht="15.75" hidden="1" customHeight="1" x14ac:dyDescent="0.25"/>
    <row r="122" ht="15.75" hidden="1" customHeight="1" x14ac:dyDescent="0.25"/>
    <row r="123" ht="15.75" hidden="1" customHeight="1" x14ac:dyDescent="0.25"/>
    <row r="124" ht="15.75" hidden="1" customHeight="1" x14ac:dyDescent="0.25"/>
    <row r="125" ht="15.75" hidden="1" customHeight="1" x14ac:dyDescent="0.25"/>
    <row r="126" ht="15.75" hidden="1" customHeight="1" x14ac:dyDescent="0.25"/>
    <row r="127" ht="15.75" hidden="1" customHeight="1" x14ac:dyDescent="0.25"/>
    <row r="128" ht="15.75" hidden="1" customHeight="1" x14ac:dyDescent="0.25"/>
    <row r="129" ht="15.75" hidden="1" customHeight="1" x14ac:dyDescent="0.25"/>
    <row r="130" ht="15.75" hidden="1" customHeight="1" x14ac:dyDescent="0.25"/>
    <row r="131" ht="15.75" hidden="1" customHeight="1" x14ac:dyDescent="0.25"/>
    <row r="132" ht="15.75" hidden="1" customHeight="1" x14ac:dyDescent="0.25"/>
    <row r="133" ht="15.75" hidden="1" customHeight="1" x14ac:dyDescent="0.25"/>
    <row r="134" ht="15.75" hidden="1" customHeight="1" x14ac:dyDescent="0.25"/>
    <row r="135" ht="15.75" hidden="1" customHeight="1" x14ac:dyDescent="0.25"/>
    <row r="136" ht="15.75" hidden="1" customHeight="1" x14ac:dyDescent="0.25"/>
    <row r="137" ht="15.75" hidden="1" customHeight="1" x14ac:dyDescent="0.25"/>
    <row r="138" ht="15.75" hidden="1" customHeight="1" x14ac:dyDescent="0.25"/>
    <row r="139" ht="15.75" hidden="1" customHeight="1" x14ac:dyDescent="0.25"/>
    <row r="140" ht="15.75" hidden="1" customHeight="1" x14ac:dyDescent="0.25"/>
    <row r="141" ht="15.75" hidden="1" customHeight="1" x14ac:dyDescent="0.25"/>
    <row r="142" ht="15.75" hidden="1" customHeight="1" x14ac:dyDescent="0.25"/>
    <row r="143" ht="15.75" hidden="1" customHeight="1" x14ac:dyDescent="0.25"/>
    <row r="144" ht="15.75" hidden="1" customHeight="1" x14ac:dyDescent="0.25"/>
    <row r="145" ht="15.75" hidden="1" customHeight="1" x14ac:dyDescent="0.25"/>
    <row r="146" ht="15.75" hidden="1" customHeight="1" x14ac:dyDescent="0.25"/>
    <row r="147" ht="15.75" hidden="1" customHeight="1" x14ac:dyDescent="0.25"/>
    <row r="148" ht="15.75" hidden="1" customHeight="1" x14ac:dyDescent="0.25"/>
    <row r="149" ht="15.75" hidden="1" customHeight="1" x14ac:dyDescent="0.25"/>
    <row r="150" ht="15.75" hidden="1" customHeight="1" x14ac:dyDescent="0.25"/>
    <row r="151" ht="15.75" hidden="1" customHeight="1" x14ac:dyDescent="0.25"/>
    <row r="152" ht="15.75" hidden="1" customHeight="1" x14ac:dyDescent="0.25"/>
    <row r="153" ht="15.75" hidden="1" customHeight="1" x14ac:dyDescent="0.25"/>
    <row r="154" ht="15.75" hidden="1" customHeight="1" x14ac:dyDescent="0.25"/>
    <row r="155" ht="15.75" hidden="1" customHeight="1" x14ac:dyDescent="0.25"/>
    <row r="156" ht="15.75" hidden="1" customHeight="1" x14ac:dyDescent="0.25"/>
    <row r="157" ht="15.75" hidden="1" customHeight="1" x14ac:dyDescent="0.25"/>
    <row r="158" ht="15.75" hidden="1" customHeight="1" x14ac:dyDescent="0.25"/>
    <row r="159" ht="15.75" hidden="1" customHeight="1" x14ac:dyDescent="0.25"/>
    <row r="160" ht="15.75" hidden="1" customHeight="1" x14ac:dyDescent="0.25"/>
    <row r="161" ht="15.75" hidden="1" customHeight="1" x14ac:dyDescent="0.25"/>
    <row r="162" ht="15.75" hidden="1" customHeight="1" x14ac:dyDescent="0.25"/>
    <row r="163" ht="15.75" hidden="1" customHeight="1" x14ac:dyDescent="0.25"/>
    <row r="164" ht="15.75" hidden="1" customHeight="1" x14ac:dyDescent="0.25"/>
    <row r="165" ht="15.75" hidden="1" customHeight="1" x14ac:dyDescent="0.25"/>
    <row r="166" ht="15.75" hidden="1" customHeight="1" x14ac:dyDescent="0.25"/>
    <row r="167" ht="15.75" hidden="1" customHeight="1" x14ac:dyDescent="0.25"/>
    <row r="168" ht="15.75" hidden="1" customHeight="1" x14ac:dyDescent="0.25"/>
    <row r="169" ht="15.75" hidden="1" customHeight="1" x14ac:dyDescent="0.25"/>
    <row r="170" ht="15.75" hidden="1" customHeight="1" x14ac:dyDescent="0.25"/>
    <row r="171" ht="15.75" hidden="1" customHeight="1" x14ac:dyDescent="0.25"/>
    <row r="172" ht="15.75" hidden="1" customHeight="1" x14ac:dyDescent="0.25"/>
    <row r="173" ht="15.75" hidden="1" customHeight="1" x14ac:dyDescent="0.25"/>
    <row r="174" ht="15.75" hidden="1" customHeight="1" x14ac:dyDescent="0.25"/>
    <row r="175" ht="15.75" hidden="1" customHeight="1" x14ac:dyDescent="0.25"/>
    <row r="176" ht="15.75" hidden="1" customHeight="1" x14ac:dyDescent="0.25"/>
    <row r="177" ht="15.75" hidden="1" customHeight="1" x14ac:dyDescent="0.25"/>
    <row r="178" ht="15.75" hidden="1" customHeight="1" x14ac:dyDescent="0.25"/>
    <row r="179" ht="15.75" hidden="1" customHeight="1" x14ac:dyDescent="0.25"/>
    <row r="180" ht="15.75" hidden="1" customHeight="1" x14ac:dyDescent="0.25"/>
    <row r="181" ht="15.75" hidden="1" customHeight="1" x14ac:dyDescent="0.25"/>
    <row r="182" ht="15.75" hidden="1" customHeight="1" x14ac:dyDescent="0.25"/>
    <row r="183" ht="15.75" hidden="1" customHeight="1" x14ac:dyDescent="0.25"/>
    <row r="184" ht="15.75" hidden="1" customHeight="1" x14ac:dyDescent="0.25"/>
    <row r="185" ht="15.75" hidden="1" customHeight="1" x14ac:dyDescent="0.25"/>
    <row r="186" ht="15.75" hidden="1" customHeight="1" x14ac:dyDescent="0.25"/>
    <row r="187" ht="15.75" hidden="1" customHeight="1" x14ac:dyDescent="0.25"/>
    <row r="188" ht="15.75" hidden="1" customHeight="1" x14ac:dyDescent="0.25"/>
    <row r="189" ht="15.75" hidden="1" customHeight="1" x14ac:dyDescent="0.25"/>
    <row r="190" ht="15.75" hidden="1" customHeight="1" x14ac:dyDescent="0.25"/>
    <row r="191" ht="15.75" hidden="1" customHeight="1" x14ac:dyDescent="0.25"/>
    <row r="192" ht="15.75" hidden="1" customHeight="1" x14ac:dyDescent="0.25"/>
    <row r="193" ht="15.75" hidden="1" customHeight="1" x14ac:dyDescent="0.25"/>
    <row r="194" ht="15.75" hidden="1" customHeight="1" x14ac:dyDescent="0.25"/>
    <row r="195" ht="15.75" hidden="1" customHeight="1" x14ac:dyDescent="0.25"/>
    <row r="196" ht="15.75" hidden="1" customHeight="1" x14ac:dyDescent="0.25"/>
    <row r="197" ht="15.75" hidden="1" customHeight="1" x14ac:dyDescent="0.25"/>
    <row r="198" ht="15.75" hidden="1" customHeight="1" x14ac:dyDescent="0.25"/>
    <row r="199" ht="15.75" hidden="1" customHeight="1" x14ac:dyDescent="0.25"/>
    <row r="200" ht="15.75" hidden="1" customHeight="1" x14ac:dyDescent="0.25"/>
    <row r="201" ht="15.75" hidden="1" customHeight="1" x14ac:dyDescent="0.25"/>
    <row r="202" ht="15.75" hidden="1" customHeight="1" x14ac:dyDescent="0.25"/>
    <row r="203" ht="15.75" hidden="1" customHeight="1" x14ac:dyDescent="0.25"/>
    <row r="204" ht="15.75" hidden="1" customHeight="1" x14ac:dyDescent="0.25"/>
    <row r="205" ht="15.75" hidden="1" customHeight="1" x14ac:dyDescent="0.25"/>
    <row r="206" ht="15.75" hidden="1" customHeight="1" x14ac:dyDescent="0.25"/>
    <row r="207" ht="15.75" hidden="1" customHeight="1" x14ac:dyDescent="0.25"/>
    <row r="208" ht="15.75" hidden="1" customHeight="1" x14ac:dyDescent="0.25"/>
    <row r="209" ht="15.75" hidden="1" customHeight="1" x14ac:dyDescent="0.25"/>
    <row r="210" ht="15.75" hidden="1" customHeight="1" x14ac:dyDescent="0.25"/>
    <row r="211" ht="15.75" hidden="1" customHeight="1" x14ac:dyDescent="0.25"/>
    <row r="212" ht="15.75" hidden="1" customHeight="1" x14ac:dyDescent="0.25"/>
    <row r="213" ht="15.75" hidden="1" customHeight="1" x14ac:dyDescent="0.25"/>
    <row r="214" ht="15.75" hidden="1" customHeight="1" x14ac:dyDescent="0.25"/>
    <row r="215" ht="15.75" hidden="1" customHeight="1" x14ac:dyDescent="0.25"/>
    <row r="216" ht="15.75" hidden="1" customHeight="1" x14ac:dyDescent="0.25"/>
    <row r="217" ht="15.75" hidden="1" customHeight="1" x14ac:dyDescent="0.25"/>
    <row r="218" ht="15.75" hidden="1" customHeight="1" x14ac:dyDescent="0.25"/>
    <row r="219" ht="15.75" hidden="1" customHeight="1" x14ac:dyDescent="0.25"/>
    <row r="220" ht="15.75" hidden="1" customHeight="1" x14ac:dyDescent="0.25"/>
    <row r="221" ht="15.75" hidden="1" customHeight="1" x14ac:dyDescent="0.25"/>
    <row r="222" ht="15.75" hidden="1" customHeight="1" x14ac:dyDescent="0.25"/>
    <row r="223" ht="15.75" hidden="1" customHeight="1" x14ac:dyDescent="0.25"/>
    <row r="224" ht="15.75" hidden="1" customHeight="1" x14ac:dyDescent="0.25"/>
    <row r="225" ht="15.75" hidden="1" customHeight="1" x14ac:dyDescent="0.25"/>
    <row r="226" ht="15.75" hidden="1" customHeight="1" x14ac:dyDescent="0.25"/>
    <row r="227" ht="15.75" hidden="1" customHeight="1" x14ac:dyDescent="0.25"/>
    <row r="228" ht="15.75" hidden="1" customHeight="1" x14ac:dyDescent="0.25"/>
    <row r="229" ht="15.75" hidden="1" customHeight="1" x14ac:dyDescent="0.25"/>
    <row r="230" ht="15.75" hidden="1" customHeight="1" x14ac:dyDescent="0.25"/>
    <row r="231" ht="15.75" hidden="1" customHeight="1" x14ac:dyDescent="0.25"/>
    <row r="232" ht="15.75" hidden="1" customHeight="1" x14ac:dyDescent="0.25"/>
    <row r="233" ht="15.75" hidden="1" customHeight="1" x14ac:dyDescent="0.25"/>
    <row r="234" ht="15.75" hidden="1" customHeight="1" x14ac:dyDescent="0.25"/>
    <row r="235" ht="15.75" hidden="1" customHeight="1" x14ac:dyDescent="0.25"/>
    <row r="236" ht="15.75" hidden="1" customHeight="1" x14ac:dyDescent="0.25"/>
    <row r="237" ht="15.75" hidden="1" customHeight="1" x14ac:dyDescent="0.25"/>
    <row r="238" ht="15.75" hidden="1" customHeight="1" x14ac:dyDescent="0.25"/>
    <row r="239" ht="15.75" hidden="1" customHeight="1" x14ac:dyDescent="0.25"/>
    <row r="240" ht="15.75" hidden="1" customHeight="1" x14ac:dyDescent="0.25"/>
    <row r="241" ht="15.75" hidden="1" customHeight="1" x14ac:dyDescent="0.25"/>
    <row r="242" ht="15.75" hidden="1" customHeight="1" x14ac:dyDescent="0.25"/>
    <row r="243" ht="15.75" hidden="1" customHeight="1" x14ac:dyDescent="0.25"/>
    <row r="244" ht="15.75" hidden="1" customHeight="1" x14ac:dyDescent="0.25"/>
    <row r="245" ht="15.75" hidden="1" customHeight="1" x14ac:dyDescent="0.25"/>
    <row r="246" ht="15.75" hidden="1" customHeight="1" x14ac:dyDescent="0.25"/>
    <row r="247" ht="15.75" hidden="1" customHeight="1" x14ac:dyDescent="0.25"/>
    <row r="248" ht="15.75" hidden="1" customHeight="1" x14ac:dyDescent="0.25"/>
    <row r="249" ht="15.75" hidden="1" customHeight="1" x14ac:dyDescent="0.25"/>
    <row r="250" ht="15.75" hidden="1" customHeight="1" x14ac:dyDescent="0.25"/>
    <row r="251" ht="15.75" hidden="1" customHeight="1" x14ac:dyDescent="0.25"/>
    <row r="252" ht="15.75" hidden="1" customHeight="1" x14ac:dyDescent="0.25"/>
    <row r="253" ht="15.75" hidden="1" customHeight="1" x14ac:dyDescent="0.25"/>
    <row r="254" ht="15.75" hidden="1" customHeight="1" x14ac:dyDescent="0.25"/>
    <row r="255" ht="15.75" hidden="1" customHeight="1" x14ac:dyDescent="0.25"/>
    <row r="256" ht="15.75" hidden="1" customHeight="1" x14ac:dyDescent="0.25"/>
    <row r="257" ht="15.75" hidden="1" customHeight="1" x14ac:dyDescent="0.25"/>
    <row r="258" ht="15.75" hidden="1" customHeight="1" x14ac:dyDescent="0.25"/>
    <row r="259" ht="15.75" hidden="1" customHeight="1" x14ac:dyDescent="0.25"/>
    <row r="260" ht="15.75" hidden="1" customHeight="1" x14ac:dyDescent="0.25"/>
    <row r="261" ht="15.75" hidden="1" customHeight="1" x14ac:dyDescent="0.25"/>
    <row r="262" ht="15.75" hidden="1" customHeight="1" x14ac:dyDescent="0.25"/>
    <row r="263" ht="15.75" hidden="1" customHeight="1" x14ac:dyDescent="0.25"/>
    <row r="264" ht="15.75" hidden="1" customHeight="1" x14ac:dyDescent="0.25"/>
    <row r="265" ht="15.75" hidden="1" customHeight="1" x14ac:dyDescent="0.25"/>
    <row r="266" ht="15.75" hidden="1" customHeight="1" x14ac:dyDescent="0.25"/>
    <row r="267" ht="15.75" hidden="1" customHeight="1" x14ac:dyDescent="0.25"/>
    <row r="268" ht="15.75" hidden="1" customHeight="1" x14ac:dyDescent="0.25"/>
    <row r="269" ht="15.75" hidden="1" customHeight="1" x14ac:dyDescent="0.25"/>
    <row r="270" ht="15.75" hidden="1" customHeight="1" x14ac:dyDescent="0.25"/>
    <row r="271" ht="15.75" hidden="1" customHeight="1" x14ac:dyDescent="0.25"/>
    <row r="272" ht="15.75" hidden="1" customHeight="1" x14ac:dyDescent="0.25"/>
    <row r="273" ht="15.75" hidden="1" customHeight="1" x14ac:dyDescent="0.25"/>
    <row r="274" ht="15.75" hidden="1" customHeight="1" x14ac:dyDescent="0.25"/>
    <row r="275" ht="15.75" hidden="1" customHeight="1" x14ac:dyDescent="0.25"/>
    <row r="276" ht="15.75" hidden="1" customHeight="1" x14ac:dyDescent="0.25"/>
    <row r="277" ht="15.75" hidden="1" customHeight="1" x14ac:dyDescent="0.25"/>
    <row r="278" ht="15.75" hidden="1" customHeight="1" x14ac:dyDescent="0.25"/>
    <row r="279" ht="15.75" hidden="1" customHeight="1" x14ac:dyDescent="0.25"/>
    <row r="280" ht="15.75" hidden="1" customHeight="1" x14ac:dyDescent="0.25"/>
    <row r="281" ht="15.75" hidden="1" customHeight="1" x14ac:dyDescent="0.25"/>
    <row r="282" ht="15.75" hidden="1" customHeight="1" x14ac:dyDescent="0.25"/>
    <row r="283" ht="15.75" hidden="1" customHeight="1" x14ac:dyDescent="0.25"/>
    <row r="284" ht="15.75" hidden="1" customHeight="1" x14ac:dyDescent="0.25"/>
    <row r="285" ht="15.75" hidden="1" customHeight="1" x14ac:dyDescent="0.25"/>
    <row r="286" ht="15.75" hidden="1" customHeight="1" x14ac:dyDescent="0.25"/>
    <row r="287" ht="15.75" hidden="1" customHeight="1" x14ac:dyDescent="0.25"/>
    <row r="288" ht="15.75" hidden="1" customHeight="1" x14ac:dyDescent="0.25"/>
    <row r="289" ht="15.75" hidden="1" customHeight="1" x14ac:dyDescent="0.25"/>
    <row r="290" ht="15.75" hidden="1" customHeight="1" x14ac:dyDescent="0.25"/>
    <row r="291" ht="15.75" hidden="1" customHeight="1" x14ac:dyDescent="0.25"/>
    <row r="292" ht="15.75" hidden="1" customHeight="1" x14ac:dyDescent="0.25"/>
    <row r="293" ht="15.75" hidden="1" customHeight="1" x14ac:dyDescent="0.25"/>
    <row r="294" ht="15.75" hidden="1" customHeight="1" x14ac:dyDescent="0.25"/>
    <row r="295" ht="15.75" hidden="1" customHeight="1" x14ac:dyDescent="0.25"/>
    <row r="296" ht="15.75" hidden="1" customHeight="1" x14ac:dyDescent="0.25"/>
    <row r="297" ht="15.75" hidden="1" customHeight="1" x14ac:dyDescent="0.25"/>
    <row r="298" ht="15.75" hidden="1" customHeight="1" x14ac:dyDescent="0.25"/>
    <row r="299" ht="15.75" hidden="1" customHeight="1" x14ac:dyDescent="0.25"/>
    <row r="300" ht="15.75" hidden="1" customHeight="1" x14ac:dyDescent="0.25"/>
    <row r="301" ht="15.75" hidden="1" customHeight="1" x14ac:dyDescent="0.25"/>
    <row r="302" ht="15.75" hidden="1" customHeight="1" x14ac:dyDescent="0.25"/>
    <row r="303" ht="15.75" hidden="1" customHeight="1" x14ac:dyDescent="0.25"/>
    <row r="304" ht="15.75" hidden="1" customHeight="1" x14ac:dyDescent="0.25"/>
    <row r="305" ht="15.75" hidden="1" customHeight="1" x14ac:dyDescent="0.25"/>
    <row r="306" ht="15.75" hidden="1" customHeight="1" x14ac:dyDescent="0.25"/>
    <row r="307" ht="15.75" hidden="1" customHeight="1" x14ac:dyDescent="0.25"/>
    <row r="308" ht="15.75" hidden="1" customHeight="1" x14ac:dyDescent="0.25"/>
    <row r="309" ht="15.75" hidden="1" customHeight="1" x14ac:dyDescent="0.25"/>
    <row r="310" ht="15.75" hidden="1" customHeight="1" x14ac:dyDescent="0.25"/>
    <row r="311" ht="15.75" hidden="1" customHeight="1" x14ac:dyDescent="0.25"/>
    <row r="312" ht="15.75" hidden="1" customHeight="1" x14ac:dyDescent="0.25"/>
    <row r="313" ht="15.75" hidden="1" customHeight="1" x14ac:dyDescent="0.25"/>
    <row r="314" ht="15.75" hidden="1" customHeight="1" x14ac:dyDescent="0.25"/>
    <row r="315" ht="15.75" hidden="1" customHeight="1" x14ac:dyDescent="0.25"/>
    <row r="316" ht="15.75" hidden="1" customHeight="1" x14ac:dyDescent="0.25"/>
    <row r="317" ht="15.75" hidden="1" customHeight="1" x14ac:dyDescent="0.25"/>
    <row r="318" ht="15.75" hidden="1" customHeight="1" x14ac:dyDescent="0.25"/>
    <row r="319" ht="15.75" hidden="1" customHeight="1" x14ac:dyDescent="0.25"/>
    <row r="320" ht="15.75" hidden="1" customHeight="1" x14ac:dyDescent="0.25"/>
    <row r="321" ht="15.75" hidden="1" customHeight="1" x14ac:dyDescent="0.25"/>
    <row r="322" ht="15.75" hidden="1" customHeight="1" x14ac:dyDescent="0.25"/>
    <row r="323" ht="15.75" hidden="1" customHeight="1" x14ac:dyDescent="0.25"/>
    <row r="324" ht="15.75" hidden="1" customHeight="1" x14ac:dyDescent="0.25"/>
    <row r="325" ht="15.75" hidden="1" customHeight="1" x14ac:dyDescent="0.25"/>
    <row r="326" ht="15.75" hidden="1" customHeight="1" x14ac:dyDescent="0.25"/>
    <row r="327" ht="15.75" hidden="1" customHeight="1" x14ac:dyDescent="0.25"/>
    <row r="328" ht="15.75" hidden="1" customHeight="1" x14ac:dyDescent="0.25"/>
    <row r="329" ht="15.75" hidden="1" customHeight="1" x14ac:dyDescent="0.25"/>
    <row r="330" ht="15.75" hidden="1" customHeight="1" x14ac:dyDescent="0.25"/>
    <row r="331" ht="15.75" hidden="1" customHeight="1" x14ac:dyDescent="0.25"/>
    <row r="332" ht="15.75" hidden="1" customHeight="1" x14ac:dyDescent="0.25"/>
    <row r="333" ht="15.75" hidden="1" customHeight="1" x14ac:dyDescent="0.25"/>
    <row r="334" ht="15.75" hidden="1" customHeight="1" x14ac:dyDescent="0.25"/>
    <row r="335" ht="15.75" hidden="1" customHeight="1" x14ac:dyDescent="0.25"/>
    <row r="336" ht="15.75" hidden="1" customHeight="1" x14ac:dyDescent="0.25"/>
    <row r="337" ht="15.75" hidden="1" customHeight="1" x14ac:dyDescent="0.25"/>
    <row r="338" ht="15.75" hidden="1" customHeight="1" x14ac:dyDescent="0.25"/>
    <row r="339" ht="15.75" hidden="1" customHeight="1" x14ac:dyDescent="0.25"/>
    <row r="340" ht="15.75" hidden="1" customHeight="1" x14ac:dyDescent="0.25"/>
    <row r="341" ht="15.75" hidden="1" customHeight="1" x14ac:dyDescent="0.25"/>
    <row r="342" ht="15.75" hidden="1" customHeight="1" x14ac:dyDescent="0.25"/>
    <row r="343" ht="15.75" hidden="1" customHeight="1" x14ac:dyDescent="0.25"/>
    <row r="344" ht="15.75" hidden="1" customHeight="1" x14ac:dyDescent="0.25"/>
    <row r="345" ht="15.75" hidden="1" customHeight="1" x14ac:dyDescent="0.25"/>
    <row r="346" ht="15.75" hidden="1" customHeight="1" x14ac:dyDescent="0.25"/>
    <row r="347" ht="15.75" hidden="1" customHeight="1" x14ac:dyDescent="0.25"/>
    <row r="348" ht="15.75" hidden="1" customHeight="1" x14ac:dyDescent="0.25"/>
    <row r="349" ht="15.75" hidden="1" customHeight="1" x14ac:dyDescent="0.25"/>
    <row r="350" ht="15.75" hidden="1" customHeight="1" x14ac:dyDescent="0.25"/>
    <row r="351" ht="15.75" hidden="1" customHeight="1" x14ac:dyDescent="0.25"/>
    <row r="352" ht="15.75" hidden="1" customHeight="1" x14ac:dyDescent="0.25"/>
    <row r="353" ht="15.75" hidden="1" customHeight="1" x14ac:dyDescent="0.25"/>
    <row r="354" ht="15.75" hidden="1" customHeight="1" x14ac:dyDescent="0.25"/>
    <row r="355" ht="15.75" hidden="1" customHeight="1" x14ac:dyDescent="0.25"/>
    <row r="356" ht="15.75" hidden="1" customHeight="1" x14ac:dyDescent="0.25"/>
    <row r="357" ht="15.75" hidden="1" customHeight="1" x14ac:dyDescent="0.25"/>
    <row r="358" ht="15.75" hidden="1" customHeight="1" x14ac:dyDescent="0.25"/>
    <row r="359" ht="15.75" hidden="1" customHeight="1" x14ac:dyDescent="0.25"/>
    <row r="360" ht="15.75" hidden="1" customHeight="1" x14ac:dyDescent="0.25"/>
    <row r="361" ht="15.75" hidden="1" customHeight="1" x14ac:dyDescent="0.25"/>
    <row r="362" ht="15.75" hidden="1" customHeight="1" x14ac:dyDescent="0.25"/>
    <row r="363" ht="15.75" hidden="1" customHeight="1" x14ac:dyDescent="0.25"/>
    <row r="364" ht="15.75" hidden="1" customHeight="1" x14ac:dyDescent="0.25"/>
    <row r="365" ht="15.75" hidden="1" customHeight="1" x14ac:dyDescent="0.25"/>
    <row r="366" ht="15.75" hidden="1" customHeight="1" x14ac:dyDescent="0.25"/>
    <row r="367" ht="15.75" hidden="1" customHeight="1" x14ac:dyDescent="0.25"/>
    <row r="368" ht="15.75" hidden="1" customHeight="1" x14ac:dyDescent="0.25"/>
    <row r="369" ht="15.75" hidden="1" customHeight="1" x14ac:dyDescent="0.25"/>
    <row r="370" ht="15.75" hidden="1" customHeight="1" x14ac:dyDescent="0.25"/>
    <row r="371" ht="15.75" hidden="1" customHeight="1" x14ac:dyDescent="0.25"/>
    <row r="372" ht="15.75" hidden="1" customHeight="1" x14ac:dyDescent="0.25"/>
    <row r="373" ht="15.75" hidden="1" customHeight="1" x14ac:dyDescent="0.25"/>
    <row r="374" ht="15.75" hidden="1" customHeight="1" x14ac:dyDescent="0.25"/>
    <row r="375" ht="15.75" hidden="1" customHeight="1" x14ac:dyDescent="0.25"/>
    <row r="376" ht="15.75" hidden="1" customHeight="1" x14ac:dyDescent="0.25"/>
    <row r="377" ht="15.75" hidden="1" customHeight="1" x14ac:dyDescent="0.25"/>
    <row r="378" ht="15.75" hidden="1" customHeight="1" x14ac:dyDescent="0.25"/>
    <row r="379" ht="15.75" hidden="1" customHeight="1" x14ac:dyDescent="0.25"/>
    <row r="380" ht="15.75" hidden="1" customHeight="1" x14ac:dyDescent="0.25"/>
    <row r="381" ht="15.75" hidden="1" customHeight="1" x14ac:dyDescent="0.25"/>
    <row r="382" ht="15.75" hidden="1" customHeight="1" x14ac:dyDescent="0.25"/>
    <row r="383" ht="15.75" hidden="1" customHeight="1" x14ac:dyDescent="0.25"/>
    <row r="384" ht="15.75" hidden="1" customHeight="1" x14ac:dyDescent="0.25"/>
    <row r="385" ht="15.75" hidden="1" customHeight="1" x14ac:dyDescent="0.25"/>
    <row r="386" ht="15.75" hidden="1" customHeight="1" x14ac:dyDescent="0.25"/>
    <row r="387" ht="15.75" hidden="1" customHeight="1" x14ac:dyDescent="0.25"/>
    <row r="388" ht="15.75" hidden="1" customHeight="1" x14ac:dyDescent="0.25"/>
    <row r="389" ht="15.75" hidden="1" customHeight="1" x14ac:dyDescent="0.25"/>
    <row r="390" ht="15.75" hidden="1" customHeight="1" x14ac:dyDescent="0.25"/>
    <row r="391" ht="15.75" hidden="1" customHeight="1" x14ac:dyDescent="0.25"/>
    <row r="392" ht="15.75" hidden="1" customHeight="1" x14ac:dyDescent="0.25"/>
    <row r="393" ht="15.75" hidden="1" customHeight="1" x14ac:dyDescent="0.25"/>
    <row r="394" ht="15.75" hidden="1" customHeight="1" x14ac:dyDescent="0.25"/>
    <row r="395" ht="15.75" hidden="1" customHeight="1" x14ac:dyDescent="0.25"/>
    <row r="396" ht="15.75" hidden="1" customHeight="1" x14ac:dyDescent="0.25"/>
    <row r="397" ht="15.75" hidden="1" customHeight="1" x14ac:dyDescent="0.25"/>
    <row r="398" ht="15.75" hidden="1" customHeight="1" x14ac:dyDescent="0.25"/>
    <row r="399" ht="15.75" hidden="1" customHeight="1" x14ac:dyDescent="0.25"/>
    <row r="400" ht="15.75" hidden="1" customHeight="1" x14ac:dyDescent="0.25"/>
    <row r="401" ht="15.75" hidden="1" customHeight="1" x14ac:dyDescent="0.25"/>
    <row r="402" ht="15.75" hidden="1" customHeight="1" x14ac:dyDescent="0.25"/>
    <row r="403" ht="15.75" hidden="1" customHeight="1" x14ac:dyDescent="0.25"/>
    <row r="404" ht="15.75" hidden="1" customHeight="1" x14ac:dyDescent="0.25"/>
    <row r="405" ht="15.75" hidden="1" customHeight="1" x14ac:dyDescent="0.25"/>
    <row r="406" ht="15.75" hidden="1" customHeight="1" x14ac:dyDescent="0.25"/>
    <row r="407" ht="15.75" hidden="1" customHeight="1" x14ac:dyDescent="0.25"/>
    <row r="408" ht="15.75" hidden="1" customHeight="1" x14ac:dyDescent="0.25"/>
    <row r="409" ht="15.75" hidden="1" customHeight="1" x14ac:dyDescent="0.25"/>
    <row r="410" ht="15.75" hidden="1" customHeight="1" x14ac:dyDescent="0.25"/>
    <row r="411" ht="15.75" hidden="1" customHeight="1" x14ac:dyDescent="0.25"/>
    <row r="412" ht="15.75" hidden="1" customHeight="1" x14ac:dyDescent="0.25"/>
    <row r="413" ht="15.75" hidden="1" customHeight="1" x14ac:dyDescent="0.25"/>
    <row r="414" ht="15.75" hidden="1" customHeight="1" x14ac:dyDescent="0.25"/>
    <row r="415" ht="15.75" hidden="1" customHeight="1" x14ac:dyDescent="0.25"/>
    <row r="416" ht="15.75" hidden="1" customHeight="1" x14ac:dyDescent="0.25"/>
    <row r="417" ht="15.75" hidden="1" customHeight="1" x14ac:dyDescent="0.25"/>
    <row r="418" ht="15.75" hidden="1" customHeight="1" x14ac:dyDescent="0.25"/>
    <row r="419" ht="15.75" hidden="1" customHeight="1" x14ac:dyDescent="0.25"/>
    <row r="420" ht="15.75" hidden="1" customHeight="1" x14ac:dyDescent="0.25"/>
    <row r="421" ht="15.75" hidden="1" customHeight="1" x14ac:dyDescent="0.25"/>
    <row r="422" ht="15.75" hidden="1" customHeight="1" x14ac:dyDescent="0.25"/>
    <row r="423" ht="15.75" hidden="1" customHeight="1" x14ac:dyDescent="0.25"/>
    <row r="424" ht="15.75" hidden="1" customHeight="1" x14ac:dyDescent="0.25"/>
    <row r="425" ht="15.75" hidden="1" customHeight="1" x14ac:dyDescent="0.25"/>
    <row r="426" ht="15.75" hidden="1" customHeight="1" x14ac:dyDescent="0.25"/>
    <row r="427" ht="15.75" hidden="1" customHeight="1" x14ac:dyDescent="0.25"/>
    <row r="428" ht="15.75" hidden="1" customHeight="1" x14ac:dyDescent="0.25"/>
    <row r="429" ht="15.75" hidden="1" customHeight="1" x14ac:dyDescent="0.25"/>
    <row r="430" ht="15.75" hidden="1" customHeight="1" x14ac:dyDescent="0.25"/>
    <row r="431" ht="15.75" hidden="1" customHeight="1" x14ac:dyDescent="0.25"/>
    <row r="432" ht="15.75" hidden="1" customHeight="1" x14ac:dyDescent="0.25"/>
    <row r="433" ht="15.75" hidden="1" customHeight="1" x14ac:dyDescent="0.25"/>
    <row r="434" ht="15.75" hidden="1" customHeight="1" x14ac:dyDescent="0.25"/>
    <row r="435" ht="15.75" hidden="1" customHeight="1" x14ac:dyDescent="0.25"/>
    <row r="436" ht="15.75" hidden="1" customHeight="1" x14ac:dyDescent="0.25"/>
    <row r="437" ht="15.75" hidden="1" customHeight="1" x14ac:dyDescent="0.25"/>
    <row r="438" ht="15.75" hidden="1" customHeight="1" x14ac:dyDescent="0.25"/>
    <row r="439" ht="15.75" hidden="1" customHeight="1" x14ac:dyDescent="0.25"/>
    <row r="440" ht="15.75" hidden="1" customHeight="1" x14ac:dyDescent="0.25"/>
    <row r="441" ht="15.75" hidden="1" customHeight="1" x14ac:dyDescent="0.25"/>
    <row r="442" ht="15.75" hidden="1" customHeight="1" x14ac:dyDescent="0.25"/>
    <row r="443" ht="15.75" hidden="1" customHeight="1" x14ac:dyDescent="0.25"/>
    <row r="444" ht="15.75" hidden="1" customHeight="1" x14ac:dyDescent="0.25"/>
    <row r="445" ht="15.75" hidden="1" customHeight="1" x14ac:dyDescent="0.25"/>
    <row r="446" ht="15.75" hidden="1" customHeight="1" x14ac:dyDescent="0.25"/>
    <row r="447" ht="15.75" hidden="1" customHeight="1" x14ac:dyDescent="0.25"/>
    <row r="448" ht="15.75" hidden="1" customHeight="1" x14ac:dyDescent="0.25"/>
    <row r="449" ht="15.75" hidden="1" customHeight="1" x14ac:dyDescent="0.25"/>
    <row r="450" ht="15.75" hidden="1" customHeight="1" x14ac:dyDescent="0.25"/>
    <row r="451" ht="15.75" hidden="1" customHeight="1" x14ac:dyDescent="0.25"/>
    <row r="452" ht="15.75" hidden="1" customHeight="1" x14ac:dyDescent="0.25"/>
    <row r="453" ht="15.75" hidden="1" customHeight="1" x14ac:dyDescent="0.25"/>
    <row r="454" ht="15.75" hidden="1" customHeight="1" x14ac:dyDescent="0.25"/>
    <row r="455" ht="15.75" hidden="1" customHeight="1" x14ac:dyDescent="0.25"/>
    <row r="456" ht="15.75" hidden="1" customHeight="1" x14ac:dyDescent="0.25"/>
    <row r="457" ht="15.75" hidden="1" customHeight="1" x14ac:dyDescent="0.25"/>
    <row r="458" ht="15.75" hidden="1" customHeight="1" x14ac:dyDescent="0.25"/>
    <row r="459" ht="15.75" hidden="1" customHeight="1" x14ac:dyDescent="0.25"/>
    <row r="460" ht="15.75" hidden="1" customHeight="1" x14ac:dyDescent="0.25"/>
    <row r="461" ht="15.75" hidden="1" customHeight="1" x14ac:dyDescent="0.25"/>
    <row r="462" ht="15.75" hidden="1" customHeight="1" x14ac:dyDescent="0.25"/>
    <row r="463" ht="15.75" hidden="1" customHeight="1" x14ac:dyDescent="0.25"/>
    <row r="464" ht="15.75" hidden="1" customHeight="1" x14ac:dyDescent="0.25"/>
    <row r="465" ht="15.75" hidden="1" customHeight="1" x14ac:dyDescent="0.25"/>
    <row r="466" ht="15.75" hidden="1" customHeight="1" x14ac:dyDescent="0.25"/>
    <row r="467" ht="15.75" hidden="1" customHeight="1" x14ac:dyDescent="0.25"/>
    <row r="468" ht="15.75" hidden="1" customHeight="1" x14ac:dyDescent="0.25"/>
    <row r="469" ht="15.75" hidden="1" customHeight="1" x14ac:dyDescent="0.25"/>
    <row r="470" ht="15.75" hidden="1" customHeight="1" x14ac:dyDescent="0.25"/>
    <row r="471" ht="15.75" hidden="1" customHeight="1" x14ac:dyDescent="0.25"/>
    <row r="472" ht="15.75" hidden="1" customHeight="1" x14ac:dyDescent="0.25"/>
    <row r="473" ht="15.75" hidden="1" customHeight="1" x14ac:dyDescent="0.25"/>
    <row r="474" ht="15.75" hidden="1" customHeight="1" x14ac:dyDescent="0.25"/>
    <row r="475" ht="15.75" hidden="1" customHeight="1" x14ac:dyDescent="0.25"/>
    <row r="476" ht="15.75" hidden="1" customHeight="1" x14ac:dyDescent="0.25"/>
    <row r="477" ht="15.75" hidden="1" customHeight="1" x14ac:dyDescent="0.25"/>
    <row r="478" ht="15.75" hidden="1" customHeight="1" x14ac:dyDescent="0.25"/>
    <row r="479" ht="15.75" hidden="1" customHeight="1" x14ac:dyDescent="0.25"/>
    <row r="480" ht="15.75" hidden="1" customHeight="1" x14ac:dyDescent="0.25"/>
    <row r="481" ht="15.75" hidden="1" customHeight="1" x14ac:dyDescent="0.25"/>
    <row r="482" ht="15.75" hidden="1" customHeight="1" x14ac:dyDescent="0.25"/>
    <row r="483" ht="15.75" hidden="1" customHeight="1" x14ac:dyDescent="0.25"/>
    <row r="484" ht="15.75" hidden="1" customHeight="1" x14ac:dyDescent="0.25"/>
    <row r="485" ht="15.75" hidden="1" customHeight="1" x14ac:dyDescent="0.25"/>
    <row r="486" ht="15.75" hidden="1" customHeight="1" x14ac:dyDescent="0.25"/>
    <row r="487" ht="15.75" hidden="1" customHeight="1" x14ac:dyDescent="0.25"/>
    <row r="488" ht="15.75" hidden="1" customHeight="1" x14ac:dyDescent="0.25"/>
    <row r="489" ht="15.75" hidden="1" customHeight="1" x14ac:dyDescent="0.25"/>
    <row r="490" ht="15.75" hidden="1" customHeight="1" x14ac:dyDescent="0.25"/>
    <row r="491" ht="15.75" hidden="1" customHeight="1" x14ac:dyDescent="0.25"/>
    <row r="492" ht="15.75" hidden="1" customHeight="1" x14ac:dyDescent="0.25"/>
    <row r="493" ht="15.75" hidden="1" customHeight="1" x14ac:dyDescent="0.25"/>
    <row r="494" ht="15.75" hidden="1" customHeight="1" x14ac:dyDescent="0.25"/>
    <row r="495" ht="15.75" hidden="1" customHeight="1" x14ac:dyDescent="0.25"/>
    <row r="496" ht="15.75" hidden="1" customHeight="1" x14ac:dyDescent="0.25"/>
    <row r="497" ht="15.75" hidden="1" customHeight="1" x14ac:dyDescent="0.25"/>
    <row r="498" ht="15.75" hidden="1" customHeight="1" x14ac:dyDescent="0.25"/>
    <row r="499" ht="15.75" hidden="1" customHeight="1" x14ac:dyDescent="0.25"/>
    <row r="500" ht="15.75" hidden="1" customHeight="1" x14ac:dyDescent="0.25"/>
    <row r="501" ht="15.75" hidden="1" customHeight="1" x14ac:dyDescent="0.25"/>
    <row r="502" ht="15.75" hidden="1" customHeight="1" x14ac:dyDescent="0.25"/>
    <row r="503" ht="15.75" hidden="1" customHeight="1" x14ac:dyDescent="0.25"/>
    <row r="504" ht="15.75" hidden="1" customHeight="1" x14ac:dyDescent="0.25"/>
    <row r="505" ht="15.75" hidden="1" customHeight="1" x14ac:dyDescent="0.25"/>
    <row r="506" ht="15.75" hidden="1" customHeight="1" x14ac:dyDescent="0.25"/>
    <row r="507" ht="15.75" hidden="1" customHeight="1" x14ac:dyDescent="0.25"/>
    <row r="508" ht="15.75" hidden="1" customHeight="1" x14ac:dyDescent="0.25"/>
    <row r="509" ht="15.75" hidden="1" customHeight="1" x14ac:dyDescent="0.25"/>
    <row r="510" ht="15.75" hidden="1" customHeight="1" x14ac:dyDescent="0.25"/>
    <row r="511" ht="15.75" hidden="1" customHeight="1" x14ac:dyDescent="0.25"/>
    <row r="512" ht="15.75" hidden="1" customHeight="1" x14ac:dyDescent="0.25"/>
    <row r="513" ht="15.75" hidden="1" customHeight="1" x14ac:dyDescent="0.25"/>
    <row r="514" ht="15.75" hidden="1" customHeight="1" x14ac:dyDescent="0.25"/>
    <row r="515" ht="15.75" hidden="1" customHeight="1" x14ac:dyDescent="0.25"/>
    <row r="516" ht="15.75" hidden="1" customHeight="1" x14ac:dyDescent="0.25"/>
    <row r="517" ht="15.75" hidden="1" customHeight="1" x14ac:dyDescent="0.25"/>
    <row r="518" ht="15.75" hidden="1" customHeight="1" x14ac:dyDescent="0.25"/>
    <row r="519" ht="15.75" hidden="1" customHeight="1" x14ac:dyDescent="0.25"/>
    <row r="520" ht="15.75" hidden="1" customHeight="1" x14ac:dyDescent="0.25"/>
    <row r="521" ht="15.75" hidden="1" customHeight="1" x14ac:dyDescent="0.25"/>
    <row r="522" ht="15.75" hidden="1" customHeight="1" x14ac:dyDescent="0.25"/>
    <row r="523" ht="15.75" hidden="1" customHeight="1" x14ac:dyDescent="0.25"/>
    <row r="524" ht="15.75" hidden="1" customHeight="1" x14ac:dyDescent="0.25"/>
    <row r="525" ht="15.75" hidden="1" customHeight="1" x14ac:dyDescent="0.25"/>
    <row r="526" ht="15.75" hidden="1" customHeight="1" x14ac:dyDescent="0.25"/>
    <row r="527" ht="15.75" hidden="1" customHeight="1" x14ac:dyDescent="0.25"/>
    <row r="528" ht="15.75" hidden="1" customHeight="1" x14ac:dyDescent="0.25"/>
    <row r="529" ht="15.75" hidden="1" customHeight="1" x14ac:dyDescent="0.25"/>
    <row r="530" ht="15.75" hidden="1" customHeight="1" x14ac:dyDescent="0.25"/>
    <row r="531" ht="15.75" hidden="1" customHeight="1" x14ac:dyDescent="0.25"/>
    <row r="532" ht="15.75" hidden="1" customHeight="1" x14ac:dyDescent="0.25"/>
    <row r="533" ht="15.75" hidden="1" customHeight="1" x14ac:dyDescent="0.25"/>
    <row r="534" ht="15.75" hidden="1" customHeight="1" x14ac:dyDescent="0.25"/>
    <row r="535" ht="15.75" hidden="1" customHeight="1" x14ac:dyDescent="0.25"/>
    <row r="536" ht="15.75" hidden="1" customHeight="1" x14ac:dyDescent="0.25"/>
    <row r="537" ht="15.75" hidden="1" customHeight="1" x14ac:dyDescent="0.25"/>
    <row r="538" ht="15.75" hidden="1" customHeight="1" x14ac:dyDescent="0.25"/>
    <row r="539" ht="15.75" hidden="1" customHeight="1" x14ac:dyDescent="0.25"/>
    <row r="540" ht="15.75" hidden="1" customHeight="1" x14ac:dyDescent="0.25"/>
    <row r="541" ht="15.75" hidden="1" customHeight="1" x14ac:dyDescent="0.25"/>
    <row r="542" ht="15.75" hidden="1" customHeight="1" x14ac:dyDescent="0.25"/>
    <row r="543" ht="15.75" hidden="1" customHeight="1" x14ac:dyDescent="0.25"/>
    <row r="544" ht="15.75" hidden="1" customHeight="1" x14ac:dyDescent="0.25"/>
    <row r="545" ht="15.75" hidden="1" customHeight="1" x14ac:dyDescent="0.25"/>
    <row r="546" ht="15.75" hidden="1" customHeight="1" x14ac:dyDescent="0.25"/>
    <row r="547" ht="15.75" hidden="1" customHeight="1" x14ac:dyDescent="0.25"/>
    <row r="548" ht="15.75" hidden="1" customHeight="1" x14ac:dyDescent="0.25"/>
    <row r="549" ht="15.75" hidden="1" customHeight="1" x14ac:dyDescent="0.25"/>
    <row r="550" ht="15.75" hidden="1" customHeight="1" x14ac:dyDescent="0.25"/>
    <row r="551" ht="15.75" hidden="1" customHeight="1" x14ac:dyDescent="0.25"/>
    <row r="552" ht="15.75" hidden="1" customHeight="1" x14ac:dyDescent="0.25"/>
    <row r="553" ht="15.75" hidden="1" customHeight="1" x14ac:dyDescent="0.25"/>
    <row r="554" ht="15.75" hidden="1" customHeight="1" x14ac:dyDescent="0.25"/>
    <row r="555" ht="15.75" hidden="1" customHeight="1" x14ac:dyDescent="0.25"/>
    <row r="556" ht="15.75" hidden="1" customHeight="1" x14ac:dyDescent="0.25"/>
    <row r="557" ht="15.75" hidden="1" customHeight="1" x14ac:dyDescent="0.25"/>
    <row r="558" ht="15.75" hidden="1" customHeight="1" x14ac:dyDescent="0.25"/>
    <row r="559" ht="15.75" hidden="1" customHeight="1" x14ac:dyDescent="0.25"/>
    <row r="560" ht="15.75" hidden="1" customHeight="1" x14ac:dyDescent="0.25"/>
    <row r="561" ht="15.75" hidden="1" customHeight="1" x14ac:dyDescent="0.25"/>
    <row r="562" ht="15.75" hidden="1" customHeight="1" x14ac:dyDescent="0.25"/>
    <row r="563" ht="15.75" hidden="1" customHeight="1" x14ac:dyDescent="0.25"/>
    <row r="564" ht="15.75" hidden="1" customHeight="1" x14ac:dyDescent="0.25"/>
    <row r="565" ht="15.75" hidden="1" customHeight="1" x14ac:dyDescent="0.25"/>
    <row r="566" ht="15.75" hidden="1" customHeight="1" x14ac:dyDescent="0.25"/>
    <row r="567" ht="15.75" hidden="1" customHeight="1" x14ac:dyDescent="0.25"/>
    <row r="568" ht="15.75" hidden="1" customHeight="1" x14ac:dyDescent="0.25"/>
    <row r="569" ht="15.75" hidden="1" customHeight="1" x14ac:dyDescent="0.25"/>
    <row r="570" ht="15.75" hidden="1" customHeight="1" x14ac:dyDescent="0.25"/>
    <row r="571" ht="15.75" hidden="1" customHeight="1" x14ac:dyDescent="0.25"/>
    <row r="572" ht="15.75" hidden="1" customHeight="1" x14ac:dyDescent="0.25"/>
    <row r="573" ht="15.75" hidden="1" customHeight="1" x14ac:dyDescent="0.25"/>
    <row r="574" ht="15.75" hidden="1" customHeight="1" x14ac:dyDescent="0.25"/>
    <row r="575" ht="15.75" hidden="1" customHeight="1" x14ac:dyDescent="0.25"/>
    <row r="576" ht="15.75" hidden="1" customHeight="1" x14ac:dyDescent="0.25"/>
    <row r="577" ht="15.75" hidden="1" customHeight="1" x14ac:dyDescent="0.25"/>
    <row r="578" ht="15.75" hidden="1" customHeight="1" x14ac:dyDescent="0.25"/>
    <row r="579" ht="15.75" hidden="1" customHeight="1" x14ac:dyDescent="0.25"/>
    <row r="580" ht="15.75" hidden="1" customHeight="1" x14ac:dyDescent="0.25"/>
    <row r="581" ht="15.75" hidden="1" customHeight="1" x14ac:dyDescent="0.25"/>
    <row r="582" ht="15.75" hidden="1" customHeight="1" x14ac:dyDescent="0.25"/>
    <row r="583" ht="15.75" hidden="1" customHeight="1" x14ac:dyDescent="0.25"/>
    <row r="584" ht="15.75" hidden="1" customHeight="1" x14ac:dyDescent="0.25"/>
    <row r="585" ht="15.75" hidden="1" customHeight="1" x14ac:dyDescent="0.25"/>
    <row r="586" ht="15.75" hidden="1" customHeight="1" x14ac:dyDescent="0.25"/>
    <row r="587" ht="15.75" hidden="1" customHeight="1" x14ac:dyDescent="0.25"/>
    <row r="588" ht="15.75" hidden="1" customHeight="1" x14ac:dyDescent="0.25"/>
    <row r="589" ht="15.75" hidden="1" customHeight="1" x14ac:dyDescent="0.25"/>
    <row r="590" ht="15.75" hidden="1" customHeight="1" x14ac:dyDescent="0.25"/>
    <row r="591" ht="15.75" hidden="1" customHeight="1" x14ac:dyDescent="0.25"/>
    <row r="592" ht="15.75" hidden="1" customHeight="1" x14ac:dyDescent="0.25"/>
    <row r="593" ht="15.75" hidden="1" customHeight="1" x14ac:dyDescent="0.25"/>
    <row r="594" ht="15.75" hidden="1" customHeight="1" x14ac:dyDescent="0.25"/>
    <row r="595" ht="15.75" hidden="1" customHeight="1" x14ac:dyDescent="0.25"/>
    <row r="596" ht="15.75" hidden="1" customHeight="1" x14ac:dyDescent="0.25"/>
    <row r="597" ht="15.75" hidden="1" customHeight="1" x14ac:dyDescent="0.25"/>
    <row r="598" ht="15.75" hidden="1" customHeight="1" x14ac:dyDescent="0.25"/>
    <row r="599" ht="15.75" hidden="1" customHeight="1" x14ac:dyDescent="0.25"/>
    <row r="600" ht="15.75" hidden="1" customHeight="1" x14ac:dyDescent="0.25"/>
    <row r="601" ht="15.75" hidden="1" customHeight="1" x14ac:dyDescent="0.25"/>
    <row r="602" ht="15.75" hidden="1" customHeight="1" x14ac:dyDescent="0.25"/>
    <row r="603" ht="15.75" hidden="1" customHeight="1" x14ac:dyDescent="0.25"/>
    <row r="604" ht="15.75" hidden="1" customHeight="1" x14ac:dyDescent="0.25"/>
    <row r="605" ht="15.75" hidden="1" customHeight="1" x14ac:dyDescent="0.25"/>
    <row r="606" ht="15.75" hidden="1" customHeight="1" x14ac:dyDescent="0.25"/>
    <row r="607" ht="15.75" hidden="1" customHeight="1" x14ac:dyDescent="0.25"/>
    <row r="608" ht="15.75" hidden="1" customHeight="1" x14ac:dyDescent="0.25"/>
    <row r="609" ht="15.75" hidden="1" customHeight="1" x14ac:dyDescent="0.25"/>
    <row r="610" ht="15.75" hidden="1" customHeight="1" x14ac:dyDescent="0.25"/>
    <row r="611" ht="15.75" hidden="1" customHeight="1" x14ac:dyDescent="0.25"/>
    <row r="612" ht="15.75" hidden="1" customHeight="1" x14ac:dyDescent="0.25"/>
    <row r="613" ht="15.75" hidden="1" customHeight="1" x14ac:dyDescent="0.25"/>
    <row r="614" ht="15.75" hidden="1" customHeight="1" x14ac:dyDescent="0.25"/>
    <row r="615" ht="15.75" hidden="1" customHeight="1" x14ac:dyDescent="0.25"/>
    <row r="616" ht="15.75" hidden="1" customHeight="1" x14ac:dyDescent="0.25"/>
    <row r="617" ht="15.75" hidden="1" customHeight="1" x14ac:dyDescent="0.25"/>
    <row r="618" ht="15.75" hidden="1" customHeight="1" x14ac:dyDescent="0.25"/>
    <row r="619" ht="15.75" hidden="1" customHeight="1" x14ac:dyDescent="0.25"/>
    <row r="620" ht="15.75" hidden="1" customHeight="1" x14ac:dyDescent="0.25"/>
    <row r="621" ht="15.75" hidden="1" customHeight="1" x14ac:dyDescent="0.25"/>
    <row r="622" ht="15.75" hidden="1" customHeight="1" x14ac:dyDescent="0.25"/>
    <row r="623" ht="15.75" hidden="1" customHeight="1" x14ac:dyDescent="0.25"/>
    <row r="624" ht="15.75" hidden="1" customHeight="1" x14ac:dyDescent="0.25"/>
    <row r="625" ht="15.75" hidden="1" customHeight="1" x14ac:dyDescent="0.25"/>
    <row r="626" ht="15.75" hidden="1" customHeight="1" x14ac:dyDescent="0.25"/>
    <row r="627" ht="15.75" hidden="1" customHeight="1" x14ac:dyDescent="0.25"/>
    <row r="628" ht="15.75" hidden="1" customHeight="1" x14ac:dyDescent="0.25"/>
    <row r="629" ht="15.75" hidden="1" customHeight="1" x14ac:dyDescent="0.25"/>
    <row r="630" ht="15.75" hidden="1" customHeight="1" x14ac:dyDescent="0.25"/>
    <row r="631" ht="15.75" hidden="1" customHeight="1" x14ac:dyDescent="0.25"/>
    <row r="632" ht="15.75" hidden="1" customHeight="1" x14ac:dyDescent="0.25"/>
    <row r="633" ht="15.75" hidden="1" customHeight="1" x14ac:dyDescent="0.25"/>
    <row r="634" ht="15.75" hidden="1" customHeight="1" x14ac:dyDescent="0.25"/>
    <row r="635" ht="15.75" hidden="1" customHeight="1" x14ac:dyDescent="0.25"/>
    <row r="636" ht="15.75" hidden="1" customHeight="1" x14ac:dyDescent="0.25"/>
    <row r="637" ht="15.75" hidden="1" customHeight="1" x14ac:dyDescent="0.25"/>
    <row r="638" ht="15.75" hidden="1" customHeight="1" x14ac:dyDescent="0.25"/>
    <row r="639" ht="15.75" hidden="1" customHeight="1" x14ac:dyDescent="0.25"/>
    <row r="640" ht="15.75" hidden="1" customHeight="1" x14ac:dyDescent="0.25"/>
    <row r="641" ht="15.75" hidden="1" customHeight="1" x14ac:dyDescent="0.25"/>
    <row r="642" ht="15.75" hidden="1" customHeight="1" x14ac:dyDescent="0.25"/>
    <row r="643" ht="15.75" hidden="1" customHeight="1" x14ac:dyDescent="0.25"/>
    <row r="644" ht="15.75" hidden="1" customHeight="1" x14ac:dyDescent="0.25"/>
    <row r="645" ht="15.75" hidden="1" customHeight="1" x14ac:dyDescent="0.25"/>
    <row r="646" ht="15.75" hidden="1" customHeight="1" x14ac:dyDescent="0.25"/>
    <row r="647" ht="15.75" hidden="1" customHeight="1" x14ac:dyDescent="0.25"/>
    <row r="648" ht="15.75" hidden="1" customHeight="1" x14ac:dyDescent="0.25"/>
    <row r="649" ht="15.75" hidden="1" customHeight="1" x14ac:dyDescent="0.25"/>
    <row r="650" ht="15.75" hidden="1" customHeight="1" x14ac:dyDescent="0.25"/>
    <row r="651" ht="15.75" hidden="1" customHeight="1" x14ac:dyDescent="0.25"/>
    <row r="652" ht="15.75" hidden="1" customHeight="1" x14ac:dyDescent="0.25"/>
    <row r="653" ht="15.75" hidden="1" customHeight="1" x14ac:dyDescent="0.25"/>
    <row r="654" ht="15.75" hidden="1" customHeight="1" x14ac:dyDescent="0.25"/>
    <row r="655" ht="15.75" hidden="1" customHeight="1" x14ac:dyDescent="0.25"/>
    <row r="656" ht="15.75" hidden="1" customHeight="1" x14ac:dyDescent="0.25"/>
    <row r="657" ht="15.75" hidden="1" customHeight="1" x14ac:dyDescent="0.25"/>
    <row r="658" ht="15.75" hidden="1" customHeight="1" x14ac:dyDescent="0.25"/>
    <row r="659" ht="15.75" hidden="1" customHeight="1" x14ac:dyDescent="0.25"/>
    <row r="660" ht="15.75" hidden="1" customHeight="1" x14ac:dyDescent="0.25"/>
    <row r="661" ht="15.75" hidden="1" customHeight="1" x14ac:dyDescent="0.25"/>
    <row r="662" ht="15.75" hidden="1" customHeight="1" x14ac:dyDescent="0.25"/>
    <row r="663" ht="15.75" hidden="1" customHeight="1" x14ac:dyDescent="0.25"/>
    <row r="664" ht="15.75" hidden="1" customHeight="1" x14ac:dyDescent="0.25"/>
    <row r="665" ht="15.75" hidden="1" customHeight="1" x14ac:dyDescent="0.25"/>
    <row r="666" ht="15.75" hidden="1" customHeight="1" x14ac:dyDescent="0.25"/>
    <row r="667" ht="15.75" hidden="1" customHeight="1" x14ac:dyDescent="0.25"/>
    <row r="668" ht="15.75" hidden="1" customHeight="1" x14ac:dyDescent="0.25"/>
    <row r="669" ht="15.75" hidden="1" customHeight="1" x14ac:dyDescent="0.25"/>
    <row r="670" ht="15.75" hidden="1" customHeight="1" x14ac:dyDescent="0.25"/>
    <row r="671" ht="15.75" hidden="1" customHeight="1" x14ac:dyDescent="0.25"/>
    <row r="672" ht="15.75" hidden="1" customHeight="1" x14ac:dyDescent="0.25"/>
    <row r="673" ht="15.75" hidden="1" customHeight="1" x14ac:dyDescent="0.25"/>
    <row r="674" ht="15.75" hidden="1" customHeight="1" x14ac:dyDescent="0.25"/>
    <row r="675" ht="15.75" hidden="1" customHeight="1" x14ac:dyDescent="0.25"/>
    <row r="676" ht="15.75" hidden="1" customHeight="1" x14ac:dyDescent="0.25"/>
    <row r="677" ht="15.75" hidden="1" customHeight="1" x14ac:dyDescent="0.25"/>
    <row r="678" ht="15.75" hidden="1" customHeight="1" x14ac:dyDescent="0.25"/>
    <row r="679" ht="15.75" hidden="1" customHeight="1" x14ac:dyDescent="0.25"/>
    <row r="680" ht="15.75" hidden="1" customHeight="1" x14ac:dyDescent="0.25"/>
    <row r="681" ht="15.75" hidden="1" customHeight="1" x14ac:dyDescent="0.25"/>
    <row r="682" ht="15.75" hidden="1" customHeight="1" x14ac:dyDescent="0.25"/>
    <row r="683" ht="15.75" hidden="1" customHeight="1" x14ac:dyDescent="0.25"/>
    <row r="684" ht="15.75" hidden="1" customHeight="1" x14ac:dyDescent="0.25"/>
    <row r="685" ht="15.75" hidden="1" customHeight="1" x14ac:dyDescent="0.25"/>
    <row r="686" ht="15.75" hidden="1" customHeight="1" x14ac:dyDescent="0.25"/>
    <row r="687" ht="15.75" hidden="1" customHeight="1" x14ac:dyDescent="0.25"/>
    <row r="688" ht="15.75" hidden="1" customHeight="1" x14ac:dyDescent="0.25"/>
    <row r="689" ht="15.75" hidden="1" customHeight="1" x14ac:dyDescent="0.25"/>
    <row r="690" ht="15.75" hidden="1" customHeight="1" x14ac:dyDescent="0.25"/>
    <row r="691" ht="15.75" hidden="1" customHeight="1" x14ac:dyDescent="0.25"/>
    <row r="692" ht="15.75" hidden="1" customHeight="1" x14ac:dyDescent="0.25"/>
    <row r="693" ht="15.75" hidden="1" customHeight="1" x14ac:dyDescent="0.25"/>
    <row r="694" ht="15.75" hidden="1" customHeight="1" x14ac:dyDescent="0.25"/>
    <row r="695" ht="15.75" hidden="1" customHeight="1" x14ac:dyDescent="0.25"/>
    <row r="696" ht="15.75" hidden="1" customHeight="1" x14ac:dyDescent="0.25"/>
    <row r="697" ht="15.75" hidden="1" customHeight="1" x14ac:dyDescent="0.25"/>
    <row r="698" ht="15.75" hidden="1" customHeight="1" x14ac:dyDescent="0.25"/>
    <row r="699" ht="15.75" hidden="1" customHeight="1" x14ac:dyDescent="0.25"/>
    <row r="700" ht="15.75" hidden="1" customHeight="1" x14ac:dyDescent="0.25"/>
    <row r="701" ht="15.75" hidden="1" customHeight="1" x14ac:dyDescent="0.25"/>
    <row r="702" ht="15.75" hidden="1" customHeight="1" x14ac:dyDescent="0.25"/>
    <row r="703" ht="15.75" hidden="1" customHeight="1" x14ac:dyDescent="0.25"/>
    <row r="704" ht="15.75" hidden="1" customHeight="1" x14ac:dyDescent="0.25"/>
    <row r="705" ht="15.75" hidden="1" customHeight="1" x14ac:dyDescent="0.25"/>
    <row r="706" ht="15.75" hidden="1" customHeight="1" x14ac:dyDescent="0.25"/>
    <row r="707" ht="15.75" hidden="1" customHeight="1" x14ac:dyDescent="0.25"/>
    <row r="708" ht="15.75" hidden="1" customHeight="1" x14ac:dyDescent="0.25"/>
    <row r="709" ht="15.75" hidden="1" customHeight="1" x14ac:dyDescent="0.25"/>
    <row r="710" ht="15.75" hidden="1" customHeight="1" x14ac:dyDescent="0.25"/>
    <row r="711" ht="15.75" hidden="1" customHeight="1" x14ac:dyDescent="0.25"/>
    <row r="712" ht="15.75" hidden="1" customHeight="1" x14ac:dyDescent="0.25"/>
    <row r="713" ht="15.75" hidden="1" customHeight="1" x14ac:dyDescent="0.25"/>
    <row r="714" ht="15.75" hidden="1" customHeight="1" x14ac:dyDescent="0.25"/>
    <row r="715" ht="15.75" hidden="1" customHeight="1" x14ac:dyDescent="0.25"/>
    <row r="716" ht="15.75" hidden="1" customHeight="1" x14ac:dyDescent="0.25"/>
    <row r="717" ht="15.75" hidden="1" customHeight="1" x14ac:dyDescent="0.25"/>
    <row r="718" ht="15.75" hidden="1" customHeight="1" x14ac:dyDescent="0.25"/>
    <row r="719" ht="15.75" hidden="1" customHeight="1" x14ac:dyDescent="0.25"/>
    <row r="720" ht="15.75" hidden="1" customHeight="1" x14ac:dyDescent="0.25"/>
    <row r="721" ht="15.75" hidden="1" customHeight="1" x14ac:dyDescent="0.25"/>
    <row r="722" ht="15.75" hidden="1" customHeight="1" x14ac:dyDescent="0.25"/>
    <row r="723" ht="15.75" hidden="1" customHeight="1" x14ac:dyDescent="0.25"/>
    <row r="724" ht="15.75" hidden="1" customHeight="1" x14ac:dyDescent="0.25"/>
    <row r="725" ht="15.75" hidden="1" customHeight="1" x14ac:dyDescent="0.25"/>
    <row r="726" ht="15.75" hidden="1" customHeight="1" x14ac:dyDescent="0.25"/>
    <row r="727" ht="15.75" hidden="1" customHeight="1" x14ac:dyDescent="0.25"/>
    <row r="728" ht="15.75" hidden="1" customHeight="1" x14ac:dyDescent="0.25"/>
    <row r="729" ht="15.75" hidden="1" customHeight="1" x14ac:dyDescent="0.25"/>
    <row r="730" ht="15.75" hidden="1" customHeight="1" x14ac:dyDescent="0.25"/>
    <row r="731" ht="15.75" hidden="1" customHeight="1" x14ac:dyDescent="0.25"/>
    <row r="732" ht="15.75" hidden="1" customHeight="1" x14ac:dyDescent="0.25"/>
    <row r="733" ht="15.75" hidden="1" customHeight="1" x14ac:dyDescent="0.25"/>
    <row r="734" ht="15.75" hidden="1" customHeight="1" x14ac:dyDescent="0.25"/>
    <row r="735" ht="15.75" hidden="1" customHeight="1" x14ac:dyDescent="0.25"/>
    <row r="736" ht="15.75" hidden="1" customHeight="1" x14ac:dyDescent="0.25"/>
    <row r="737" ht="15.75" hidden="1" customHeight="1" x14ac:dyDescent="0.25"/>
    <row r="738" ht="15.75" hidden="1" customHeight="1" x14ac:dyDescent="0.25"/>
    <row r="739" ht="15.75" hidden="1" customHeight="1" x14ac:dyDescent="0.25"/>
    <row r="740" ht="15.75" hidden="1" customHeight="1" x14ac:dyDescent="0.25"/>
    <row r="741" ht="15.75" hidden="1" customHeight="1" x14ac:dyDescent="0.25"/>
    <row r="742" ht="15.75" hidden="1" customHeight="1" x14ac:dyDescent="0.25"/>
    <row r="743" ht="15.75" hidden="1" customHeight="1" x14ac:dyDescent="0.25"/>
    <row r="744" ht="15.75" hidden="1" customHeight="1" x14ac:dyDescent="0.25"/>
    <row r="745" ht="15.75" hidden="1" customHeight="1" x14ac:dyDescent="0.25"/>
    <row r="746" ht="15.75" hidden="1" customHeight="1" x14ac:dyDescent="0.25"/>
    <row r="747" ht="15.75" hidden="1" customHeight="1" x14ac:dyDescent="0.25"/>
    <row r="748" ht="15.75" hidden="1" customHeight="1" x14ac:dyDescent="0.25"/>
    <row r="749" ht="15.75" hidden="1" customHeight="1" x14ac:dyDescent="0.25"/>
    <row r="750" ht="15.75" hidden="1" customHeight="1" x14ac:dyDescent="0.25"/>
    <row r="751" ht="15.75" hidden="1" customHeight="1" x14ac:dyDescent="0.25"/>
    <row r="752" ht="15.75" hidden="1" customHeight="1" x14ac:dyDescent="0.25"/>
    <row r="753" ht="15.75" hidden="1" customHeight="1" x14ac:dyDescent="0.25"/>
    <row r="754" ht="15.75" hidden="1" customHeight="1" x14ac:dyDescent="0.25"/>
    <row r="755" ht="15.75" hidden="1" customHeight="1" x14ac:dyDescent="0.25"/>
    <row r="756" ht="15.75" hidden="1" customHeight="1" x14ac:dyDescent="0.25"/>
    <row r="757" ht="15.75" hidden="1" customHeight="1" x14ac:dyDescent="0.25"/>
    <row r="758" ht="15.75" hidden="1" customHeight="1" x14ac:dyDescent="0.25"/>
    <row r="759" ht="15.75" hidden="1" customHeight="1" x14ac:dyDescent="0.25"/>
    <row r="760" ht="15.75" hidden="1" customHeight="1" x14ac:dyDescent="0.25"/>
    <row r="761" ht="15.75" hidden="1" customHeight="1" x14ac:dyDescent="0.25"/>
    <row r="762" ht="15.75" hidden="1" customHeight="1" x14ac:dyDescent="0.25"/>
    <row r="763" ht="15.75" hidden="1" customHeight="1" x14ac:dyDescent="0.25"/>
    <row r="764" ht="15.75" hidden="1" customHeight="1" x14ac:dyDescent="0.25"/>
    <row r="765" ht="15.75" hidden="1" customHeight="1" x14ac:dyDescent="0.25"/>
    <row r="766" ht="15.75" hidden="1" customHeight="1" x14ac:dyDescent="0.25"/>
    <row r="767" ht="15.75" hidden="1" customHeight="1" x14ac:dyDescent="0.25"/>
    <row r="768" ht="15.75" hidden="1" customHeight="1" x14ac:dyDescent="0.25"/>
    <row r="769" ht="15.75" hidden="1" customHeight="1" x14ac:dyDescent="0.25"/>
    <row r="770" ht="15.75" hidden="1" customHeight="1" x14ac:dyDescent="0.25"/>
    <row r="771" ht="15.75" hidden="1" customHeight="1" x14ac:dyDescent="0.25"/>
    <row r="772" ht="15.75" hidden="1" customHeight="1" x14ac:dyDescent="0.25"/>
    <row r="773" ht="15.75" hidden="1" customHeight="1" x14ac:dyDescent="0.25"/>
    <row r="774" ht="15.75" hidden="1" customHeight="1" x14ac:dyDescent="0.25"/>
    <row r="775" ht="15.75" hidden="1" customHeight="1" x14ac:dyDescent="0.25"/>
    <row r="776" ht="15.75" hidden="1" customHeight="1" x14ac:dyDescent="0.25"/>
    <row r="777" ht="15.75" hidden="1" customHeight="1" x14ac:dyDescent="0.25"/>
    <row r="778" ht="15.75" hidden="1" customHeight="1" x14ac:dyDescent="0.25"/>
    <row r="779" ht="15.75" hidden="1" customHeight="1" x14ac:dyDescent="0.25"/>
    <row r="780" ht="15.75" hidden="1" customHeight="1" x14ac:dyDescent="0.25"/>
    <row r="781" ht="15.75" hidden="1" customHeight="1" x14ac:dyDescent="0.25"/>
    <row r="782" ht="15.75" hidden="1" customHeight="1" x14ac:dyDescent="0.25"/>
    <row r="783" ht="15.75" hidden="1" customHeight="1" x14ac:dyDescent="0.25"/>
    <row r="784" ht="15.75" hidden="1" customHeight="1" x14ac:dyDescent="0.25"/>
    <row r="785" ht="15.75" hidden="1" customHeight="1" x14ac:dyDescent="0.25"/>
    <row r="786" ht="15.75" hidden="1" customHeight="1" x14ac:dyDescent="0.25"/>
    <row r="787" ht="15.75" hidden="1" customHeight="1" x14ac:dyDescent="0.25"/>
    <row r="788" ht="15.75" hidden="1" customHeight="1" x14ac:dyDescent="0.25"/>
    <row r="789" ht="15.75" hidden="1" customHeight="1" x14ac:dyDescent="0.25"/>
    <row r="790" ht="15.75" hidden="1" customHeight="1" x14ac:dyDescent="0.25"/>
    <row r="791" ht="15.75" hidden="1" customHeight="1" x14ac:dyDescent="0.25"/>
    <row r="792" ht="15.75" hidden="1" customHeight="1" x14ac:dyDescent="0.25"/>
    <row r="793" ht="15.75" hidden="1" customHeight="1" x14ac:dyDescent="0.25"/>
    <row r="794" ht="15.75" hidden="1" customHeight="1" x14ac:dyDescent="0.25"/>
    <row r="795" ht="15.75" hidden="1" customHeight="1" x14ac:dyDescent="0.25"/>
    <row r="796" ht="15.75" hidden="1" customHeight="1" x14ac:dyDescent="0.25"/>
    <row r="797" ht="15.75" hidden="1" customHeight="1" x14ac:dyDescent="0.25"/>
    <row r="798" ht="15.75" hidden="1" customHeight="1" x14ac:dyDescent="0.25"/>
    <row r="799" ht="15.75" hidden="1" customHeight="1" x14ac:dyDescent="0.25"/>
    <row r="800" ht="15.75" hidden="1" customHeight="1" x14ac:dyDescent="0.25"/>
    <row r="801" ht="15.75" hidden="1" customHeight="1" x14ac:dyDescent="0.25"/>
    <row r="802" ht="15.75" hidden="1" customHeight="1" x14ac:dyDescent="0.25"/>
    <row r="803" ht="15.75" hidden="1" customHeight="1" x14ac:dyDescent="0.25"/>
    <row r="804" ht="15.75" hidden="1" customHeight="1" x14ac:dyDescent="0.25"/>
    <row r="805" ht="15.75" hidden="1" customHeight="1" x14ac:dyDescent="0.25"/>
    <row r="806" ht="15.75" hidden="1" customHeight="1" x14ac:dyDescent="0.25"/>
    <row r="807" ht="15.75" hidden="1" customHeight="1" x14ac:dyDescent="0.25"/>
    <row r="808" ht="15.75" hidden="1" customHeight="1" x14ac:dyDescent="0.25"/>
    <row r="809" ht="15.75" hidden="1" customHeight="1" x14ac:dyDescent="0.25"/>
    <row r="810" ht="15.75" hidden="1" customHeight="1" x14ac:dyDescent="0.25"/>
    <row r="811" ht="15.75" hidden="1" customHeight="1" x14ac:dyDescent="0.25"/>
    <row r="812" ht="15.75" hidden="1" customHeight="1" x14ac:dyDescent="0.25"/>
    <row r="813" ht="15.75" hidden="1" customHeight="1" x14ac:dyDescent="0.25"/>
    <row r="814" ht="15.75" hidden="1" customHeight="1" x14ac:dyDescent="0.25"/>
    <row r="815" ht="15.75" hidden="1" customHeight="1" x14ac:dyDescent="0.25"/>
    <row r="816" ht="15.75" hidden="1" customHeight="1" x14ac:dyDescent="0.25"/>
    <row r="817" ht="15.75" hidden="1" customHeight="1" x14ac:dyDescent="0.25"/>
    <row r="818" ht="15.75" hidden="1" customHeight="1" x14ac:dyDescent="0.25"/>
    <row r="819" ht="15.75" hidden="1" customHeight="1" x14ac:dyDescent="0.25"/>
    <row r="820" ht="15.75" hidden="1" customHeight="1" x14ac:dyDescent="0.25"/>
    <row r="821" ht="15.75" hidden="1" customHeight="1" x14ac:dyDescent="0.25"/>
    <row r="822" ht="15.75" hidden="1" customHeight="1" x14ac:dyDescent="0.25"/>
    <row r="823" ht="15.75" hidden="1" customHeight="1" x14ac:dyDescent="0.25"/>
    <row r="824" ht="15.75" hidden="1" customHeight="1" x14ac:dyDescent="0.25"/>
    <row r="825" ht="15.75" hidden="1" customHeight="1" x14ac:dyDescent="0.25"/>
    <row r="826" ht="15.75" hidden="1" customHeight="1" x14ac:dyDescent="0.25"/>
    <row r="827" ht="15.75" hidden="1" customHeight="1" x14ac:dyDescent="0.25"/>
    <row r="828" ht="15.75" hidden="1" customHeight="1" x14ac:dyDescent="0.25"/>
    <row r="829" ht="15.75" hidden="1" customHeight="1" x14ac:dyDescent="0.25"/>
    <row r="830" ht="15.75" hidden="1" customHeight="1" x14ac:dyDescent="0.25"/>
    <row r="831" ht="15.75" hidden="1" customHeight="1" x14ac:dyDescent="0.25"/>
    <row r="832" ht="15.75" hidden="1" customHeight="1" x14ac:dyDescent="0.25"/>
    <row r="833" ht="15.75" hidden="1" customHeight="1" x14ac:dyDescent="0.25"/>
    <row r="834" ht="15.75" hidden="1" customHeight="1" x14ac:dyDescent="0.25"/>
    <row r="835" ht="15.75" hidden="1" customHeight="1" x14ac:dyDescent="0.25"/>
    <row r="836" ht="15.75" hidden="1" customHeight="1" x14ac:dyDescent="0.25"/>
    <row r="837" ht="15.75" hidden="1" customHeight="1" x14ac:dyDescent="0.25"/>
    <row r="838" ht="15.75" hidden="1" customHeight="1" x14ac:dyDescent="0.25"/>
    <row r="839" ht="15.75" hidden="1" customHeight="1" x14ac:dyDescent="0.25"/>
    <row r="840" ht="15.75" hidden="1" customHeight="1" x14ac:dyDescent="0.25"/>
    <row r="841" ht="15.75" hidden="1" customHeight="1" x14ac:dyDescent="0.25"/>
    <row r="842" ht="15.75" hidden="1" customHeight="1" x14ac:dyDescent="0.25"/>
    <row r="843" ht="15.75" hidden="1" customHeight="1" x14ac:dyDescent="0.25"/>
    <row r="844" ht="15.75" hidden="1" customHeight="1" x14ac:dyDescent="0.25"/>
    <row r="845" ht="15.75" hidden="1" customHeight="1" x14ac:dyDescent="0.25"/>
    <row r="846" ht="15.75" hidden="1" customHeight="1" x14ac:dyDescent="0.25"/>
    <row r="847" ht="15.75" hidden="1" customHeight="1" x14ac:dyDescent="0.25"/>
    <row r="848" ht="15.75" hidden="1" customHeight="1" x14ac:dyDescent="0.25"/>
    <row r="849" ht="15.75" hidden="1" customHeight="1" x14ac:dyDescent="0.25"/>
    <row r="850" ht="15.75" hidden="1" customHeight="1" x14ac:dyDescent="0.25"/>
    <row r="851" ht="15.75" hidden="1" customHeight="1" x14ac:dyDescent="0.25"/>
    <row r="852" ht="15.75" hidden="1" customHeight="1" x14ac:dyDescent="0.25"/>
    <row r="853" ht="15.75" hidden="1" customHeight="1" x14ac:dyDescent="0.25"/>
    <row r="854" ht="15.75" hidden="1" customHeight="1" x14ac:dyDescent="0.25"/>
    <row r="855" ht="15.75" hidden="1" customHeight="1" x14ac:dyDescent="0.25"/>
    <row r="856" ht="15.75" hidden="1" customHeight="1" x14ac:dyDescent="0.25"/>
    <row r="857" ht="15.75" hidden="1" customHeight="1" x14ac:dyDescent="0.25"/>
    <row r="858" ht="15.75" hidden="1" customHeight="1" x14ac:dyDescent="0.25"/>
    <row r="859" ht="15.75" hidden="1" customHeight="1" x14ac:dyDescent="0.25"/>
    <row r="860" ht="15.75" hidden="1" customHeight="1" x14ac:dyDescent="0.25"/>
    <row r="861" ht="15.75" hidden="1" customHeight="1" x14ac:dyDescent="0.25"/>
    <row r="862" ht="15.75" hidden="1" customHeight="1" x14ac:dyDescent="0.25"/>
    <row r="863" ht="15.75" hidden="1" customHeight="1" x14ac:dyDescent="0.25"/>
    <row r="864" ht="15.75" hidden="1" customHeight="1" x14ac:dyDescent="0.25"/>
    <row r="865" ht="15.75" hidden="1" customHeight="1" x14ac:dyDescent="0.25"/>
    <row r="866" ht="15.75" hidden="1" customHeight="1" x14ac:dyDescent="0.25"/>
    <row r="867" ht="15.75" hidden="1" customHeight="1" x14ac:dyDescent="0.25"/>
    <row r="868" ht="15.75" hidden="1" customHeight="1" x14ac:dyDescent="0.25"/>
    <row r="869" ht="15.75" hidden="1" customHeight="1" x14ac:dyDescent="0.25"/>
    <row r="870" ht="15.75" hidden="1" customHeight="1" x14ac:dyDescent="0.25"/>
    <row r="871" ht="15.75" hidden="1" customHeight="1" x14ac:dyDescent="0.25"/>
    <row r="872" ht="15.75" hidden="1" customHeight="1" x14ac:dyDescent="0.25"/>
    <row r="873" ht="15.75" hidden="1" customHeight="1" x14ac:dyDescent="0.25"/>
    <row r="874" ht="15.75" hidden="1" customHeight="1" x14ac:dyDescent="0.25"/>
    <row r="875" ht="15.75" hidden="1" customHeight="1" x14ac:dyDescent="0.25"/>
    <row r="876" ht="15.75" hidden="1" customHeight="1" x14ac:dyDescent="0.25"/>
    <row r="877" ht="15.75" hidden="1" customHeight="1" x14ac:dyDescent="0.25"/>
    <row r="878" ht="15.75" hidden="1" customHeight="1" x14ac:dyDescent="0.25"/>
    <row r="879" ht="15.75" hidden="1" customHeight="1" x14ac:dyDescent="0.25"/>
    <row r="880" ht="15.75" hidden="1" customHeight="1" x14ac:dyDescent="0.25"/>
    <row r="881" ht="15.75" hidden="1" customHeight="1" x14ac:dyDescent="0.25"/>
    <row r="882" ht="15.75" hidden="1" customHeight="1" x14ac:dyDescent="0.25"/>
    <row r="883" ht="15.75" hidden="1" customHeight="1" x14ac:dyDescent="0.25"/>
    <row r="884" ht="15.75" hidden="1" customHeight="1" x14ac:dyDescent="0.25"/>
    <row r="885" ht="15.75" hidden="1" customHeight="1" x14ac:dyDescent="0.25"/>
    <row r="886" ht="15.75" hidden="1" customHeight="1" x14ac:dyDescent="0.25"/>
    <row r="887" ht="15.75" hidden="1" customHeight="1" x14ac:dyDescent="0.25"/>
    <row r="888" ht="15.75" hidden="1" customHeight="1" x14ac:dyDescent="0.25"/>
    <row r="889" ht="15.75" hidden="1" customHeight="1" x14ac:dyDescent="0.25"/>
    <row r="890" ht="15.75" hidden="1" customHeight="1" x14ac:dyDescent="0.25"/>
    <row r="891" ht="15.75" hidden="1" customHeight="1" x14ac:dyDescent="0.25"/>
    <row r="892" ht="15.75" hidden="1" customHeight="1" x14ac:dyDescent="0.25"/>
    <row r="893" ht="15.75" hidden="1" customHeight="1" x14ac:dyDescent="0.25"/>
    <row r="894" ht="15.75" hidden="1" customHeight="1" x14ac:dyDescent="0.25"/>
    <row r="895" ht="15.75" hidden="1" customHeight="1" x14ac:dyDescent="0.25"/>
    <row r="896" ht="15.75" hidden="1" customHeight="1" x14ac:dyDescent="0.25"/>
    <row r="897" ht="15.75" hidden="1" customHeight="1" x14ac:dyDescent="0.25"/>
    <row r="898" ht="15.75" hidden="1" customHeight="1" x14ac:dyDescent="0.25"/>
    <row r="899" ht="15.75" hidden="1" customHeight="1" x14ac:dyDescent="0.25"/>
    <row r="900" ht="15.75" hidden="1" customHeight="1" x14ac:dyDescent="0.25"/>
    <row r="901" ht="15.75" hidden="1" customHeight="1" x14ac:dyDescent="0.25"/>
    <row r="902" ht="15.75" hidden="1" customHeight="1" x14ac:dyDescent="0.25"/>
    <row r="903" ht="15.75" hidden="1" customHeight="1" x14ac:dyDescent="0.25"/>
    <row r="904" ht="15.75" hidden="1" customHeight="1" x14ac:dyDescent="0.25"/>
    <row r="905" ht="15.75" hidden="1" customHeight="1" x14ac:dyDescent="0.25"/>
    <row r="906" ht="15.75" hidden="1" customHeight="1" x14ac:dyDescent="0.25"/>
    <row r="907" ht="15.75" hidden="1" customHeight="1" x14ac:dyDescent="0.25"/>
    <row r="908" ht="15.75" hidden="1" customHeight="1" x14ac:dyDescent="0.25"/>
    <row r="909" ht="15.75" hidden="1" customHeight="1" x14ac:dyDescent="0.25"/>
    <row r="910" ht="15.75" hidden="1" customHeight="1" x14ac:dyDescent="0.25"/>
    <row r="911" ht="15.75" hidden="1" customHeight="1" x14ac:dyDescent="0.25"/>
    <row r="912" ht="15.75" hidden="1" customHeight="1" x14ac:dyDescent="0.25"/>
    <row r="913" ht="15.75" hidden="1" customHeight="1" x14ac:dyDescent="0.25"/>
    <row r="914" ht="15.75" hidden="1" customHeight="1" x14ac:dyDescent="0.25"/>
    <row r="915" ht="15.75" hidden="1" customHeight="1" x14ac:dyDescent="0.25"/>
    <row r="916" ht="15.75" hidden="1" customHeight="1" x14ac:dyDescent="0.25"/>
    <row r="917" ht="15.75" hidden="1" customHeight="1" x14ac:dyDescent="0.25"/>
    <row r="918" ht="15.75" hidden="1" customHeight="1" x14ac:dyDescent="0.25"/>
    <row r="919" ht="15.75" hidden="1" customHeight="1" x14ac:dyDescent="0.25"/>
    <row r="920" ht="15.75" hidden="1" customHeight="1" x14ac:dyDescent="0.25"/>
    <row r="921" ht="15.75" hidden="1" customHeight="1" x14ac:dyDescent="0.25"/>
    <row r="922" ht="15.75" hidden="1" customHeight="1" x14ac:dyDescent="0.25"/>
    <row r="923" ht="15.75" hidden="1" customHeight="1" x14ac:dyDescent="0.25"/>
    <row r="924" ht="15.75" hidden="1" customHeight="1" x14ac:dyDescent="0.25"/>
    <row r="925" ht="15.75" hidden="1" customHeight="1" x14ac:dyDescent="0.25"/>
    <row r="926" ht="15.75" hidden="1" customHeight="1" x14ac:dyDescent="0.25"/>
    <row r="927" ht="15.75" hidden="1" customHeight="1" x14ac:dyDescent="0.25"/>
    <row r="928" ht="15.75" hidden="1" customHeight="1" x14ac:dyDescent="0.25"/>
    <row r="929" ht="15.75" hidden="1" customHeight="1" x14ac:dyDescent="0.25"/>
    <row r="930" ht="15.75" hidden="1" customHeight="1" x14ac:dyDescent="0.25"/>
    <row r="931" ht="15.75" hidden="1" customHeight="1" x14ac:dyDescent="0.25"/>
    <row r="932" ht="15.75" hidden="1" customHeight="1" x14ac:dyDescent="0.25"/>
    <row r="933" ht="15.75" hidden="1" customHeight="1" x14ac:dyDescent="0.25"/>
    <row r="934" ht="15.75" hidden="1" customHeight="1" x14ac:dyDescent="0.25"/>
    <row r="935" ht="15.75" hidden="1" customHeight="1" x14ac:dyDescent="0.25"/>
    <row r="936" ht="15.75" hidden="1" customHeight="1" x14ac:dyDescent="0.25"/>
    <row r="937" ht="15.75" hidden="1" customHeight="1" x14ac:dyDescent="0.25"/>
    <row r="938" ht="15.75" hidden="1" customHeight="1" x14ac:dyDescent="0.25"/>
    <row r="939" ht="15.75" hidden="1" customHeight="1" x14ac:dyDescent="0.25"/>
    <row r="940" ht="15.75" hidden="1" customHeight="1" x14ac:dyDescent="0.25"/>
    <row r="941" ht="15.75" hidden="1" customHeight="1" x14ac:dyDescent="0.25"/>
    <row r="942" ht="15.75" hidden="1" customHeight="1" x14ac:dyDescent="0.25"/>
    <row r="943" ht="15.75" hidden="1" customHeight="1" x14ac:dyDescent="0.25"/>
    <row r="944" ht="15.75" hidden="1" customHeight="1" x14ac:dyDescent="0.25"/>
    <row r="945" ht="15.75" hidden="1" customHeight="1" x14ac:dyDescent="0.25"/>
    <row r="946" ht="15.75" hidden="1" customHeight="1" x14ac:dyDescent="0.25"/>
    <row r="947" ht="15.75" hidden="1" customHeight="1" x14ac:dyDescent="0.25"/>
    <row r="948" ht="15.75" hidden="1" customHeight="1" x14ac:dyDescent="0.25"/>
    <row r="949" ht="15.75" hidden="1" customHeight="1" x14ac:dyDescent="0.25"/>
    <row r="950" ht="15.75" hidden="1" customHeight="1" x14ac:dyDescent="0.25"/>
    <row r="951" ht="15.75" hidden="1" customHeight="1" x14ac:dyDescent="0.25"/>
    <row r="952" ht="15.75" hidden="1" customHeight="1" x14ac:dyDescent="0.25"/>
    <row r="953" ht="15.75" hidden="1" customHeight="1" x14ac:dyDescent="0.25"/>
    <row r="954" ht="15.75" hidden="1" customHeight="1" x14ac:dyDescent="0.25"/>
    <row r="955" ht="15.75" hidden="1" customHeight="1" x14ac:dyDescent="0.25"/>
    <row r="956" ht="15.75" hidden="1" customHeight="1" x14ac:dyDescent="0.25"/>
    <row r="957" ht="15.75" hidden="1" customHeight="1" x14ac:dyDescent="0.25"/>
    <row r="958" ht="15.75" hidden="1" customHeight="1" x14ac:dyDescent="0.25"/>
    <row r="959" ht="15.75" hidden="1" customHeight="1" x14ac:dyDescent="0.25"/>
    <row r="960" ht="15.75" hidden="1" customHeight="1" x14ac:dyDescent="0.25"/>
    <row r="961" ht="15.75" hidden="1" customHeight="1" x14ac:dyDescent="0.25"/>
    <row r="962" ht="15.75" hidden="1" customHeight="1" x14ac:dyDescent="0.25"/>
    <row r="963" ht="15.75" hidden="1" customHeight="1" x14ac:dyDescent="0.25"/>
    <row r="964" ht="15.75" hidden="1" customHeight="1" x14ac:dyDescent="0.25"/>
    <row r="965" ht="15.75" hidden="1" customHeight="1" x14ac:dyDescent="0.25"/>
    <row r="966" ht="15.75" hidden="1" customHeight="1" x14ac:dyDescent="0.25"/>
    <row r="967" ht="15.75" hidden="1" customHeight="1" x14ac:dyDescent="0.25"/>
    <row r="968" ht="15.75" hidden="1" customHeight="1" x14ac:dyDescent="0.25"/>
    <row r="969" ht="15.75" hidden="1" customHeight="1" x14ac:dyDescent="0.25"/>
    <row r="970" ht="15.75" hidden="1" customHeight="1" x14ac:dyDescent="0.25"/>
    <row r="971" ht="15.75" hidden="1" customHeight="1" x14ac:dyDescent="0.25"/>
    <row r="972" ht="15.75" hidden="1" customHeight="1" x14ac:dyDescent="0.25"/>
    <row r="973" ht="15.75" hidden="1" customHeight="1" x14ac:dyDescent="0.25"/>
    <row r="974" ht="15.75" hidden="1" customHeight="1" x14ac:dyDescent="0.25"/>
    <row r="975" ht="15.75" hidden="1" customHeight="1" x14ac:dyDescent="0.25"/>
    <row r="976" ht="15.75" hidden="1" customHeight="1" x14ac:dyDescent="0.25"/>
    <row r="977" ht="15.75" hidden="1" customHeight="1" x14ac:dyDescent="0.25"/>
    <row r="978" ht="15.75" hidden="1" customHeight="1" x14ac:dyDescent="0.25"/>
    <row r="979" ht="15.75" hidden="1" customHeight="1" x14ac:dyDescent="0.25"/>
    <row r="980" ht="15.75" hidden="1" customHeight="1" x14ac:dyDescent="0.25"/>
    <row r="981" ht="15.75" hidden="1" customHeight="1" x14ac:dyDescent="0.25"/>
    <row r="982" ht="15.75" hidden="1" customHeight="1" x14ac:dyDescent="0.25"/>
    <row r="983" ht="15.75" hidden="1" customHeight="1" x14ac:dyDescent="0.25"/>
    <row r="984" ht="15.75" hidden="1" customHeight="1" x14ac:dyDescent="0.25"/>
    <row r="985" ht="15.75" hidden="1" customHeight="1" x14ac:dyDescent="0.25"/>
    <row r="986" ht="15.75" hidden="1" customHeight="1" x14ac:dyDescent="0.25"/>
    <row r="987" ht="15.75" hidden="1" customHeight="1" x14ac:dyDescent="0.25"/>
    <row r="988" ht="15.75" hidden="1" customHeight="1" x14ac:dyDescent="0.25"/>
    <row r="989" ht="15.75" hidden="1" customHeight="1" x14ac:dyDescent="0.25"/>
    <row r="990" ht="15.75" hidden="1" customHeight="1" x14ac:dyDescent="0.25"/>
    <row r="991" ht="15.75" hidden="1" customHeight="1" x14ac:dyDescent="0.25"/>
    <row r="992" ht="15.75" hidden="1" customHeight="1" x14ac:dyDescent="0.25"/>
    <row r="993" ht="15.75" hidden="1" customHeight="1" x14ac:dyDescent="0.25"/>
    <row r="994" ht="15.75" hidden="1" customHeight="1" x14ac:dyDescent="0.25"/>
    <row r="995" ht="15.75" hidden="1" customHeight="1" x14ac:dyDescent="0.25"/>
    <row r="996" ht="15.75" hidden="1" customHeight="1" x14ac:dyDescent="0.25"/>
    <row r="997" ht="15.75" hidden="1" customHeight="1" x14ac:dyDescent="0.25"/>
    <row r="998" ht="15.75" hidden="1" customHeight="1" x14ac:dyDescent="0.25"/>
    <row r="999" ht="15.75" hidden="1" customHeight="1" x14ac:dyDescent="0.25"/>
    <row r="1000" ht="15.75" hidden="1" customHeight="1" x14ac:dyDescent="0.25"/>
  </sheetData>
  <autoFilter ref="B1:B1000">
    <filterColumn colId="0">
      <filters>
        <filter val="IMRESA"/>
        <filter val="IMPRESA"/>
      </filters>
    </filterColumn>
  </autoFilter>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ENERO 2026</vt:lpstr>
      <vt:lpstr>Hoja 5</vt:lpstr>
      <vt:lpstr>APROB DOC</vt:lpstr>
      <vt:lpstr>HV</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CRUZ</dc:creator>
  <cp:lastModifiedBy>Piedrahita Correa, Yesid Javier</cp:lastModifiedBy>
  <dcterms:created xsi:type="dcterms:W3CDTF">2021-06-17T03:32:43Z</dcterms:created>
  <dcterms:modified xsi:type="dcterms:W3CDTF">2026-03-16T23:14:55Z</dcterms:modified>
</cp:coreProperties>
</file>