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Soporte y Desarrollo\Downloads\"/>
    </mc:Choice>
  </mc:AlternateContent>
  <xr:revisionPtr revIDLastSave="0" documentId="13_ncr:1_{B6472A7B-A30A-47BB-ACD2-9B2DDAC0F16C}" xr6:coauthVersionLast="47" xr6:coauthVersionMax="47" xr10:uidLastSave="{00000000-0000-0000-0000-000000000000}"/>
  <bookViews>
    <workbookView xWindow="-120" yWindow="-120" windowWidth="20730" windowHeight="11160" xr2:uid="{00000000-000D-0000-FFFF-FFFF00000000}"/>
  </bookViews>
  <sheets>
    <sheet name="ENERO 2026" sheetId="1" r:id="rId1"/>
  </sheets>
  <definedNames>
    <definedName name="_xlnm._FilterDatabase" localSheetId="0" hidden="1">'ENERO 2026'!$A$1:$CA$2</definedName>
  </definedNames>
  <calcPr calcId="191029"/>
  <extLst>
    <ext uri="GoogleSheetsCustomDataVersion2">
      <go:sheetsCustomData xmlns:go="http://customooxmlschemas.google.com/" r:id="rId8" roundtripDataChecksum="6Hb3xK1MOZaCGgGA8PlIaUqYxUtVBQAX9M4RQy+NR/Q="/>
    </ext>
  </extLst>
</workbook>
</file>

<file path=xl/calcChain.xml><?xml version="1.0" encoding="utf-8"?>
<calcChain xmlns="http://schemas.openxmlformats.org/spreadsheetml/2006/main">
  <c r="CA2" i="1" l="1"/>
  <c r="AU2" i="1"/>
</calcChain>
</file>

<file path=xl/sharedStrings.xml><?xml version="1.0" encoding="utf-8"?>
<sst xmlns="http://schemas.openxmlformats.org/spreadsheetml/2006/main" count="131" uniqueCount="128">
  <si>
    <t>Organismo</t>
  </si>
  <si>
    <t>TRD del proceso y consecutivo</t>
  </si>
  <si>
    <t>Dirección del organismo</t>
  </si>
  <si>
    <t>Nombre del ordenador del gasto</t>
  </si>
  <si>
    <t>Cédula del ordenador del gasto</t>
  </si>
  <si>
    <t>Cargo del ordenador del gasto</t>
  </si>
  <si>
    <t>Decreto de nombramiento</t>
  </si>
  <si>
    <t>Acta de posesión</t>
  </si>
  <si>
    <t>Profesional jurídico estructurador del EP</t>
  </si>
  <si>
    <t>Cargo Profesional Jurídico estructurador EP</t>
  </si>
  <si>
    <t>Profesional técnico estructurador del EP</t>
  </si>
  <si>
    <t>Cargo Profesional Técnico estructurador EP</t>
  </si>
  <si>
    <t>Profesional financiero estructurador del EP</t>
  </si>
  <si>
    <t>Cargo Profesional Financiero estructurador EP</t>
  </si>
  <si>
    <t>Nombre del proyecto y Ficha +O:TEBI (si aplica)</t>
  </si>
  <si>
    <t>Objetivo general de la Ficha EBI (si aplica)</t>
  </si>
  <si>
    <t>Encabezado actividades Ficha EBI</t>
  </si>
  <si>
    <t>Actividades de la Ficha EBI (si aplica)</t>
  </si>
  <si>
    <t>Inversión (si aplica)</t>
  </si>
  <si>
    <t>Funcionamiento (si aplica)</t>
  </si>
  <si>
    <t>Número y fecha del CDP</t>
  </si>
  <si>
    <t>Fecha del CDP</t>
  </si>
  <si>
    <t>Valor del CDP</t>
  </si>
  <si>
    <t>Fecha de vencimiento del CDP</t>
  </si>
  <si>
    <t>Apropiación presupuestal</t>
  </si>
  <si>
    <t>ID en el PAA</t>
  </si>
  <si>
    <t>Codigo
DANE</t>
  </si>
  <si>
    <t>Número de contrato</t>
  </si>
  <si>
    <t>Tipo contrato xxx</t>
  </si>
  <si>
    <t>Tipo de contrato (Profesional o de Apoyo a la Gestión)</t>
  </si>
  <si>
    <t>Profesional</t>
  </si>
  <si>
    <t>Apoyo a la gestión</t>
  </si>
  <si>
    <t>Nivel</t>
  </si>
  <si>
    <t>NOMBRE DEL CONTRATISTA</t>
  </si>
  <si>
    <t>Cédula del contratista</t>
  </si>
  <si>
    <t>DV</t>
  </si>
  <si>
    <t xml:space="preserve">PERIODO </t>
  </si>
  <si>
    <t>ESTADO CONTRATO</t>
  </si>
  <si>
    <t>Formación y título académica (Básica, media, pregrado y posgrado)</t>
  </si>
  <si>
    <t>Descripcion de la formación y título académico</t>
  </si>
  <si>
    <t>Tarjeta o Matrícula Profesional (si aplica)</t>
  </si>
  <si>
    <t>Descripcion Tarjeta o Matricula</t>
  </si>
  <si>
    <t>Descripcion de experiencia</t>
  </si>
  <si>
    <t xml:space="preserve">Experiencia </t>
  </si>
  <si>
    <t>Objeto contractual</t>
  </si>
  <si>
    <t>Valor total del contrato en letras</t>
  </si>
  <si>
    <t xml:space="preserve">Valor total contrato en numeros </t>
  </si>
  <si>
    <t>Valor antes de IVA</t>
  </si>
  <si>
    <t>VALOR IVA</t>
  </si>
  <si>
    <t>Plazo de ejecución</t>
  </si>
  <si>
    <t>Actividades y, si aplica, entregables</t>
  </si>
  <si>
    <t>Número de cuotas en letras</t>
  </si>
  <si>
    <t>Número de cuotas en número</t>
  </si>
  <si>
    <t>Valor cuota en letras</t>
  </si>
  <si>
    <t>Valor cuota en número</t>
  </si>
  <si>
    <t>Valor media cuota en letras</t>
  </si>
  <si>
    <t>Valor media cuota en número</t>
  </si>
  <si>
    <t>Nombre del supervisor</t>
  </si>
  <si>
    <t>Cargo del supervisor</t>
  </si>
  <si>
    <t>Cédula del supervisor</t>
  </si>
  <si>
    <t>Número y fecha del Acuerdo de liquidación de presupuesto</t>
  </si>
  <si>
    <t>Número del artículo del Acuerdo de liquidación de presupuesto</t>
  </si>
  <si>
    <t>Número y fecha del Decreto de liquidación de presupuesto</t>
  </si>
  <si>
    <t>Número de la circular sobre la tabla de honorarios</t>
  </si>
  <si>
    <t>Certificado de Insuficiencia de Personal</t>
  </si>
  <si>
    <t>Fecha del Certificado de Insuficiencia de Personal</t>
  </si>
  <si>
    <t>Registro Presupuestal (RPC)</t>
  </si>
  <si>
    <t>Fecha del RPC</t>
  </si>
  <si>
    <t>Fecha ARL</t>
  </si>
  <si>
    <t>Fecha de aprobación</t>
  </si>
  <si>
    <t>Feche de Ejejcución</t>
  </si>
  <si>
    <t>NÚMERO TELEFÓNICO</t>
  </si>
  <si>
    <t>CORREO ELECTRONICO</t>
  </si>
  <si>
    <t>DIRECCIÓN</t>
  </si>
  <si>
    <t>RESTRICCIONES</t>
  </si>
  <si>
    <t>DIA NACIMIENTO</t>
  </si>
  <si>
    <t>MES NACIMIENTO</t>
  </si>
  <si>
    <t>AÑO NACIMIENTO</t>
  </si>
  <si>
    <t>EDAD</t>
  </si>
  <si>
    <t>Departamento Administrativo de Gestión Jurídica Pública</t>
  </si>
  <si>
    <t>Avenida 2N No 10-70. Centro Administrativo Municipal C.A.M. Piso 9. Santiago de Cali.</t>
  </si>
  <si>
    <t>ANA CATALINA CASTRO LOZANO</t>
  </si>
  <si>
    <t>29.180.813 de Cali (Valle del Cauca)</t>
  </si>
  <si>
    <t>Director Departamento Administrativo</t>
  </si>
  <si>
    <t>4112.010.20.0844 del 20 de septiembre de dos mil veinticuatro (2024)</t>
  </si>
  <si>
    <t>725 del ocho (08) de octubre de dos mil veinticuatro (2024)</t>
  </si>
  <si>
    <t>Profesional Universitario</t>
  </si>
  <si>
    <t>MARÍA EUGENIA GONZÁLEZ ESPINOSA</t>
  </si>
  <si>
    <t>X</t>
  </si>
  <si>
    <t>31 de didciembre de 2026</t>
  </si>
  <si>
    <t>Prestación de servicios profesionales</t>
  </si>
  <si>
    <t>PROFESIONALES</t>
  </si>
  <si>
    <t>ESTEFANY PALACIOS CÓRDOBA</t>
  </si>
  <si>
    <t>EJECUCIÓN</t>
  </si>
  <si>
    <t>Aplica</t>
  </si>
  <si>
    <t>Treinta (30) de junio del dos mil veintiseis (2026)</t>
  </si>
  <si>
    <t>Seis</t>
  </si>
  <si>
    <t>Artículo 19</t>
  </si>
  <si>
    <t>4112.010.20.1176 del 23 diciembre de 2024</t>
  </si>
  <si>
    <t>No. 4135.010.13.1.971.000005 Rad. 2025413550100000054 del 3 de enero de 2025</t>
  </si>
  <si>
    <t>202641370400000064</t>
  </si>
  <si>
    <t xml:space="preserve">No </t>
  </si>
  <si>
    <t>591 del 30 de noviembre de 2024</t>
  </si>
  <si>
    <t>PROFESIONAL</t>
  </si>
  <si>
    <t>Fortalecimiento del Ciclo de Defensa Jurídica y de la Política de Mejora Normativa del Distrito Especial de Santiago de Cali</t>
  </si>
  <si>
    <t>Establecer lineamientos que mejoren la eficiencia en la gestión del ciclo de defensa jurídica del Distrito Especial de Santiago de Cali.</t>
  </si>
  <si>
    <t>Dieciocho (18) meses de experiencia profesional</t>
  </si>
  <si>
    <t>Treinta y tres millones novecientos setenta y ocho mil pesos m/cte</t>
  </si>
  <si>
    <t>Cinco millones seiscientos sesenta y tres mil pesos m/cte</t>
  </si>
  <si>
    <t>Abogada contratista</t>
  </si>
  <si>
    <t>4121.010.32.1.014</t>
  </si>
  <si>
    <t>CLAUDIA PATRICIA VARGAS OROZCO</t>
  </si>
  <si>
    <t>Subdirector de Defensa Judicial y Prevención del Daño Antijurídico</t>
  </si>
  <si>
    <t>Brindar soporte técnico, mantenimiento, desarrollo y actualización de los sistemas de información</t>
  </si>
  <si>
    <t>BP-26005460/1/02/01/04</t>
  </si>
  <si>
    <t>4121/1.2.1.0.00/2.3.2.02.02.008/63020010003/BP260054601020104</t>
  </si>
  <si>
    <t>87130_Servicios de mantenimiento y reparacion de computadores y equipos perifericos</t>
  </si>
  <si>
    <t>4121.010.26.1.014</t>
  </si>
  <si>
    <t>YESID JAVIER PIEDRAHÍTA CORREA</t>
  </si>
  <si>
    <t>16.839.817 de Jamundí</t>
  </si>
  <si>
    <t>Ingeniero(a) informático y/o afines</t>
  </si>
  <si>
    <t>Ingeniero Informático, Tecnología en Ingeniería de Sistemas</t>
  </si>
  <si>
    <t>76833192919VLL Expedida por el Consejo Profesional Nacional de Ingeniería COPNIA, el 16 de septiembre de 2010</t>
  </si>
  <si>
    <t>*Desde el 10/May/2019 hasta 27/Dic/2019, 7 Meses y 17 días, Alcaldía de Santiago de Cali, *Desde el 17/Ene/2019 Hasta 30/Abr/2019, 3 Meses y 13 días, Alcaldía de Sabtiago de Cali, * Desde el 16/Jul/2018 hasta 27/Dic/2018, 5 meses y 11 días, * Desde el 16/Ene/2018 hasta 29/Jun/2018, 5 Meses y 13 días, Alcaldía de Santiago de Cali. Total: 1 año, 9 meses y 24 días</t>
  </si>
  <si>
    <t>Prestación de servicios profesionales como ingeniero informático en el Departamento Administrativo de Gestión Pública del Distrito Especial de Santiago de Cali, especialmente en la administración de los sistemas de información en el marco del proyecto de inversión denominado "Fortalecimiento del Ciclo de Defensa Jurídica y de la Política de Mejora Normativa del Distrito Especial de Santiago de Cali" BP-26005460 "</t>
  </si>
  <si>
    <t>1.  Realizar soporte técnico a los equipos de cómputo, impresoras, equipos de digitalización y demás equipos del Departamento Administrativo de Gestión Jurídica Pública.  2. Brindar soporte técnico a los funcionarios del organismo en el manejo de los equipos y sistemas de información.  3. Brindar apoyo técnico en la preparación de informes de acuerdo con las directrices impartidas por la Dirección del Departamento Administrativo de Gestión Jurídica Pública. 4. Brindar apoyo técnico para la administración, implementación, actualización, puesta en operación y capacitación de los Sistemas de Información que utilice el organismo. 5. Realizar copias de seguridad a la base de datos de los sistemas de información que utilice el organismo, mantener una bitácora sobre los procesos de respaldo actualizado. 6. Administrar y verificar el buen funcionamiento de los servidores del Departamento Administrativo de Gestión Jurídica Pública. 7. Administrar la base de Datos de los sistemas información del Organismo. 8. Administrar y verificar el buen funcionamiento de la red de datos del Departamento Administrativo de Gestión Jurídico Público. 9. Administrar la Consola del Antivirus. 10. Reportar a DATIC información referente a los equipos tecnológicos cuando este lo requiera. 11. Administrar el directorio activo (DA) de acuerdo con las instrucciones del DATIC y los requerimientos del organismo. 12. Las demás actividades que le asigne el supervisor del contrato y que se encuentren directamente relacionadas con el objeto contractual.</t>
  </si>
  <si>
    <t>yjpc79@gmail.com</t>
  </si>
  <si>
    <t>CR 3 A SUR 6 119 BRR PARQUES DE CASTILLA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</si>
</sst>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_-&quot;$&quot;* #,##0_-;\-&quot;$&quot;* #,##0_-;_-&quot;$&quot;* &quot;-&quot;_-;_-@"/>
    <numFmt numFmtId="165" formatCode="d/m/yyyy"/>
    <numFmt numFmtId="166" formatCode="_-&quot;$&quot;\ * #,##0_-;\-&quot;$&quot;\ * #,##0_-;_-&quot;$&quot;\ * &quot;-&quot;_-;_-@"/>
    <numFmt numFmtId="167" formatCode="[$$-240A]\ #,##0.00"/>
    <numFmt numFmtId="168" formatCode="d&quot; de &quot;mmmm&quot; de &quot;yyyy"/>
    <numFmt numFmtId="169" formatCode="_-&quot;$&quot;* #,##0_-;\-&quot;$&quot;* #,##0_-;_-&quot;$&quot;* &quot;-&quot;??_-;_-@"/>
    <numFmt numFmtId="170" formatCode="mmmm\ d&quot; de &quot;yyyy"/>
  </numFmts>
  <fonts count="12" x14ac:knownFonts="1">
    <font>
      <sz val="12"/>
      <color rgb="FF000000"/>
      <name val="Calibri"/>
      <scheme val="minor"/>
    </font>
    <font>
      <sz val="11"/>
      <color theme="1"/>
      <name val="Arial"/>
    </font>
    <font>
      <b/>
      <sz val="11"/>
      <color theme="1"/>
      <name val="Arial"/>
    </font>
    <font>
      <b/>
      <sz val="11"/>
      <color rgb="FF434343"/>
      <name val="Arial"/>
    </font>
    <font>
      <b/>
      <sz val="11"/>
      <color rgb="FF000000"/>
      <name val="Arial"/>
    </font>
    <font>
      <sz val="11"/>
      <color rgb="FF000000"/>
      <name val="Arial"/>
    </font>
    <font>
      <sz val="13"/>
      <color theme="1"/>
      <name val="Arial"/>
    </font>
    <font>
      <sz val="11"/>
      <color rgb="FF1F1F1F"/>
      <name val="Arial"/>
    </font>
    <font>
      <sz val="11"/>
      <color rgb="FF434343"/>
      <name val="Arial"/>
    </font>
    <font>
      <sz val="10"/>
      <color theme="1"/>
      <name val="Arial"/>
    </font>
    <font>
      <sz val="10"/>
      <color theme="1"/>
      <name val="Calibri"/>
    </font>
    <font>
      <u/>
      <sz val="11"/>
      <color theme="1"/>
      <name val="Arial"/>
    </font>
  </fonts>
  <fills count="6">
    <fill>
      <patternFill patternType="none"/>
    </fill>
    <fill>
      <patternFill patternType="gray125"/>
    </fill>
    <fill>
      <patternFill patternType="solid">
        <fgColor rgb="FFF7CAAC"/>
        <bgColor rgb="FFF7CAAC"/>
      </patternFill>
    </fill>
    <fill>
      <patternFill patternType="solid">
        <fgColor rgb="FFFFFF00"/>
        <bgColor rgb="FFFFFF00"/>
      </patternFill>
    </fill>
    <fill>
      <patternFill patternType="solid">
        <fgColor rgb="FF00FFFF"/>
        <bgColor rgb="FF00FFFF"/>
      </patternFill>
    </fill>
    <fill>
      <patternFill patternType="solid">
        <fgColor rgb="FFFFFFFF"/>
        <bgColor rgb="FFFFFFFF"/>
      </patternFill>
    </fill>
  </fills>
  <borders count="13">
    <border>
      <left/>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87">
    <xf numFmtId="0" fontId="0" fillId="0" borderId="0" xfId="0"/>
    <xf numFmtId="0" fontId="1" fillId="2"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65" fontId="2" fillId="2" borderId="3" xfId="0" applyNumberFormat="1" applyFont="1" applyFill="1" applyBorder="1" applyAlignment="1">
      <alignment horizontal="center" vertical="center" wrapText="1"/>
    </xf>
    <xf numFmtId="0" fontId="2" fillId="2" borderId="1" xfId="0" applyFont="1" applyFill="1" applyBorder="1" applyAlignment="1">
      <alignment horizontal="left" vertical="center" wrapText="1"/>
    </xf>
    <xf numFmtId="0" fontId="2" fillId="2" borderId="4"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2" fillId="2" borderId="5"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4" fillId="2" borderId="1" xfId="0" applyFont="1" applyFill="1" applyBorder="1" applyAlignment="1">
      <alignment horizontal="center" vertical="center" wrapText="1"/>
    </xf>
    <xf numFmtId="166" fontId="2" fillId="2" borderId="1" xfId="0" applyNumberFormat="1" applyFont="1" applyFill="1" applyBorder="1" applyAlignment="1">
      <alignment horizontal="right" vertical="center" wrapText="1"/>
    </xf>
    <xf numFmtId="166" fontId="2" fillId="2" borderId="1" xfId="0" applyNumberFormat="1" applyFont="1" applyFill="1" applyBorder="1" applyAlignment="1">
      <alignment horizontal="center" vertical="center" wrapText="1"/>
    </xf>
    <xf numFmtId="0" fontId="5" fillId="2" borderId="1" xfId="0" applyFont="1" applyFill="1" applyBorder="1" applyAlignment="1">
      <alignment horizontal="center" vertical="center" wrapText="1"/>
    </xf>
    <xf numFmtId="0" fontId="4" fillId="2" borderId="4" xfId="0" applyFont="1" applyFill="1" applyBorder="1" applyAlignment="1">
      <alignment horizontal="center" vertical="center" wrapText="1"/>
    </xf>
    <xf numFmtId="0" fontId="6" fillId="2" borderId="4" xfId="0" applyFont="1" applyFill="1" applyBorder="1" applyAlignment="1">
      <alignment horizontal="center" vertical="center" wrapText="1"/>
    </xf>
    <xf numFmtId="0" fontId="2" fillId="2" borderId="4" xfId="0" applyFont="1" applyFill="1" applyBorder="1" applyAlignment="1">
      <alignment horizontal="center" vertical="center"/>
    </xf>
    <xf numFmtId="165" fontId="1" fillId="0" borderId="4" xfId="0" applyNumberFormat="1" applyFont="1" applyBorder="1" applyAlignment="1">
      <alignment horizontal="left" vertical="top" wrapText="1"/>
    </xf>
    <xf numFmtId="0" fontId="1" fillId="0" borderId="4" xfId="0" applyFont="1" applyBorder="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vertical="top" wrapText="1"/>
    </xf>
    <xf numFmtId="0" fontId="1" fillId="0" borderId="4" xfId="0" applyFont="1" applyBorder="1" applyAlignment="1">
      <alignment vertical="top" wrapText="1"/>
    </xf>
    <xf numFmtId="0" fontId="1" fillId="0" borderId="10" xfId="0" applyFont="1" applyBorder="1" applyAlignment="1">
      <alignment vertical="top" wrapText="1"/>
    </xf>
    <xf numFmtId="0" fontId="1" fillId="0" borderId="11" xfId="0" applyFont="1" applyBorder="1" applyAlignment="1">
      <alignment horizontal="left" vertical="top" wrapText="1"/>
    </xf>
    <xf numFmtId="0" fontId="5" fillId="0" borderId="10" xfId="0" applyFont="1" applyBorder="1" applyAlignment="1">
      <alignment vertical="top" wrapText="1"/>
    </xf>
    <xf numFmtId="0" fontId="5" fillId="0" borderId="10" xfId="0" applyFont="1" applyBorder="1" applyAlignment="1">
      <alignment horizontal="center" vertical="top" wrapText="1"/>
    </xf>
    <xf numFmtId="0" fontId="5" fillId="5" borderId="12" xfId="0" applyFont="1" applyFill="1" applyBorder="1" applyAlignment="1">
      <alignment vertical="top" wrapText="1"/>
    </xf>
    <xf numFmtId="0" fontId="5" fillId="0" borderId="4" xfId="0" applyFont="1" applyBorder="1" applyAlignment="1">
      <alignment vertical="top" wrapText="1"/>
    </xf>
    <xf numFmtId="0" fontId="1" fillId="0" borderId="4" xfId="0" applyFont="1" applyBorder="1" applyAlignment="1">
      <alignment horizontal="center" vertical="top" wrapText="1"/>
    </xf>
    <xf numFmtId="0" fontId="1" fillId="0" borderId="0" xfId="0" applyFont="1"/>
    <xf numFmtId="49" fontId="5" fillId="5" borderId="12" xfId="0" applyNumberFormat="1" applyFont="1" applyFill="1" applyBorder="1" applyAlignment="1">
      <alignment horizontal="left" vertical="top" wrapText="1"/>
    </xf>
    <xf numFmtId="0" fontId="1" fillId="0" borderId="10" xfId="0" applyFont="1" applyBorder="1" applyAlignment="1">
      <alignment horizontal="center" vertical="top" wrapText="1"/>
    </xf>
    <xf numFmtId="0" fontId="1" fillId="5" borderId="4" xfId="0" applyFont="1" applyFill="1" applyBorder="1" applyAlignment="1">
      <alignment vertical="top" wrapText="1"/>
    </xf>
    <xf numFmtId="0" fontId="10" fillId="0" borderId="4" xfId="0" applyFont="1" applyBorder="1" applyAlignment="1">
      <alignment horizontal="left" vertical="top" wrapText="1"/>
    </xf>
    <xf numFmtId="0" fontId="1" fillId="0" borderId="0" xfId="0" applyFont="1" applyAlignment="1">
      <alignment vertical="top" wrapText="1"/>
    </xf>
    <xf numFmtId="0" fontId="1" fillId="0" borderId="0" xfId="0" applyFont="1" applyAlignment="1">
      <alignment horizontal="center" vertical="center"/>
    </xf>
    <xf numFmtId="0" fontId="1" fillId="0" borderId="0" xfId="0" applyFont="1" applyAlignment="1">
      <alignment vertical="center"/>
    </xf>
    <xf numFmtId="0" fontId="9" fillId="0" borderId="4" xfId="0" applyFont="1" applyBorder="1" applyAlignment="1">
      <alignment horizontal="left" vertical="top" wrapText="1"/>
    </xf>
    <xf numFmtId="0" fontId="5" fillId="0" borderId="0" xfId="0" applyFont="1" applyAlignment="1">
      <alignment vertical="center"/>
    </xf>
    <xf numFmtId="169" fontId="9" fillId="0" borderId="4" xfId="0" applyNumberFormat="1" applyFont="1" applyBorder="1" applyAlignment="1">
      <alignment horizontal="center" vertical="top"/>
    </xf>
    <xf numFmtId="0" fontId="1" fillId="0" borderId="0" xfId="0" applyFont="1" applyAlignment="1">
      <alignment horizontal="left" vertical="center" wrapText="1"/>
    </xf>
    <xf numFmtId="0" fontId="1" fillId="0" borderId="0" xfId="0" applyFont="1" applyAlignment="1">
      <alignment horizontal="left" vertical="center"/>
    </xf>
    <xf numFmtId="0" fontId="1" fillId="0" borderId="0" xfId="0" applyFont="1" applyAlignment="1">
      <alignment horizontal="center"/>
    </xf>
    <xf numFmtId="0" fontId="8" fillId="0" borderId="0" xfId="0" applyFont="1" applyAlignment="1">
      <alignment horizontal="center" vertical="center" wrapText="1"/>
    </xf>
    <xf numFmtId="0" fontId="1" fillId="0" borderId="0" xfId="0" applyFont="1" applyAlignment="1">
      <alignment horizontal="center" vertical="top"/>
    </xf>
    <xf numFmtId="0" fontId="1" fillId="5" borderId="6" xfId="0" applyFont="1" applyFill="1" applyBorder="1" applyAlignment="1">
      <alignment horizontal="left" vertical="top"/>
    </xf>
    <xf numFmtId="0" fontId="1" fillId="0" borderId="0" xfId="0" applyFont="1" applyAlignment="1">
      <alignment vertical="top"/>
    </xf>
    <xf numFmtId="0" fontId="1" fillId="0" borderId="0" xfId="0" applyFont="1" applyAlignment="1">
      <alignment wrapText="1"/>
    </xf>
    <xf numFmtId="0" fontId="1" fillId="0" borderId="0" xfId="0" applyFont="1" applyAlignment="1">
      <alignment vertical="center" wrapText="1"/>
    </xf>
    <xf numFmtId="164" fontId="1" fillId="0" borderId="0" xfId="0" applyNumberFormat="1" applyFont="1" applyAlignment="1">
      <alignment horizontal="left" vertical="center"/>
    </xf>
    <xf numFmtId="165" fontId="1" fillId="0" borderId="0" xfId="0" applyNumberFormat="1" applyFont="1" applyAlignment="1">
      <alignment vertical="center"/>
    </xf>
    <xf numFmtId="0" fontId="1" fillId="0" borderId="0" xfId="0" applyFont="1" applyAlignment="1">
      <alignment horizontal="left" wrapText="1"/>
    </xf>
    <xf numFmtId="0" fontId="1" fillId="5" borderId="6" xfId="0" applyFont="1" applyFill="1" applyBorder="1" applyAlignment="1">
      <alignment horizontal="center"/>
    </xf>
    <xf numFmtId="0" fontId="1" fillId="5" borderId="6" xfId="0" applyFont="1" applyFill="1" applyBorder="1" applyAlignment="1">
      <alignment horizontal="left" vertical="center" wrapText="1"/>
    </xf>
    <xf numFmtId="0" fontId="1" fillId="0" borderId="0" xfId="0" applyFont="1" applyAlignment="1">
      <alignment horizontal="center" vertical="top" wrapText="1"/>
    </xf>
    <xf numFmtId="0" fontId="5" fillId="0" borderId="0" xfId="0" applyFont="1" applyAlignment="1">
      <alignment horizontal="left" vertical="top"/>
    </xf>
    <xf numFmtId="0" fontId="1" fillId="0" borderId="0" xfId="0" applyFont="1" applyAlignment="1">
      <alignment horizontal="left" vertical="top" wrapText="1"/>
    </xf>
    <xf numFmtId="0" fontId="1" fillId="0" borderId="0" xfId="0" applyFont="1" applyAlignment="1">
      <alignment horizontal="right" vertical="center"/>
    </xf>
    <xf numFmtId="0" fontId="5" fillId="0" borderId="0" xfId="0" applyFont="1" applyAlignment="1">
      <alignment horizontal="left" vertical="top" wrapText="1"/>
    </xf>
    <xf numFmtId="0" fontId="5" fillId="0" borderId="0" xfId="0" applyFont="1" applyAlignment="1">
      <alignment horizontal="left" vertical="center" wrapText="1"/>
    </xf>
    <xf numFmtId="0" fontId="1" fillId="0" borderId="0" xfId="0" applyFont="1" applyAlignment="1">
      <alignment horizontal="left"/>
    </xf>
    <xf numFmtId="0" fontId="6" fillId="5" borderId="6" xfId="0" applyFont="1" applyFill="1" applyBorder="1"/>
    <xf numFmtId="0" fontId="1" fillId="0" borderId="4" xfId="0" applyFont="1" applyBorder="1" applyAlignment="1">
      <alignment horizontal="center" vertical="top"/>
    </xf>
    <xf numFmtId="0" fontId="1" fillId="0" borderId="4" xfId="0" applyFont="1" applyBorder="1" applyAlignment="1">
      <alignment horizontal="left" vertical="top"/>
    </xf>
    <xf numFmtId="0" fontId="1" fillId="0" borderId="9" xfId="0" applyFont="1" applyBorder="1" applyAlignment="1">
      <alignment horizontal="left" vertical="top" wrapText="1"/>
    </xf>
    <xf numFmtId="167" fontId="1" fillId="0" borderId="9" xfId="0" applyNumberFormat="1" applyFont="1" applyBorder="1" applyAlignment="1">
      <alignment vertical="top" wrapText="1"/>
    </xf>
    <xf numFmtId="167" fontId="1" fillId="0" borderId="4" xfId="0" applyNumberFormat="1" applyFont="1" applyBorder="1" applyAlignment="1">
      <alignment vertical="top" wrapText="1"/>
    </xf>
    <xf numFmtId="0" fontId="1" fillId="0" borderId="10" xfId="0" applyFont="1" applyBorder="1" applyAlignment="1">
      <alignment horizontal="center" vertical="top"/>
    </xf>
    <xf numFmtId="168" fontId="1" fillId="0" borderId="4" xfId="0" applyNumberFormat="1" applyFont="1" applyBorder="1" applyAlignment="1">
      <alignment horizontal="center" vertical="top" wrapText="1"/>
    </xf>
    <xf numFmtId="164" fontId="1" fillId="0" borderId="4" xfId="0" applyNumberFormat="1" applyFont="1" applyBorder="1" applyAlignment="1">
      <alignment horizontal="center" vertical="top"/>
    </xf>
    <xf numFmtId="0" fontId="7" fillId="3" borderId="4" xfId="0" applyFont="1" applyFill="1" applyBorder="1" applyAlignment="1">
      <alignment vertical="top" wrapText="1"/>
    </xf>
    <xf numFmtId="0" fontId="1" fillId="4" borderId="4" xfId="0" applyFont="1" applyFill="1" applyBorder="1" applyAlignment="1">
      <alignment horizontal="center" vertical="top"/>
    </xf>
    <xf numFmtId="3" fontId="1" fillId="0" borderId="9" xfId="0" applyNumberFormat="1" applyFont="1" applyBorder="1" applyAlignment="1">
      <alignment horizontal="center" vertical="top" wrapText="1"/>
    </xf>
    <xf numFmtId="1" fontId="1" fillId="0" borderId="9" xfId="0" applyNumberFormat="1" applyFont="1" applyBorder="1" applyAlignment="1">
      <alignment horizontal="center" vertical="top"/>
    </xf>
    <xf numFmtId="0" fontId="5" fillId="5" borderId="4" xfId="0" applyFont="1" applyFill="1" applyBorder="1" applyAlignment="1">
      <alignment horizontal="center" vertical="top"/>
    </xf>
    <xf numFmtId="3" fontId="8" fillId="0" borderId="4" xfId="0" applyNumberFormat="1" applyFont="1" applyBorder="1" applyAlignment="1">
      <alignment horizontal="center" vertical="top" wrapText="1"/>
    </xf>
    <xf numFmtId="3" fontId="1" fillId="0" borderId="4" xfId="0" applyNumberFormat="1" applyFont="1" applyBorder="1" applyAlignment="1">
      <alignment horizontal="right" vertical="top"/>
    </xf>
    <xf numFmtId="166" fontId="5" fillId="5" borderId="4" xfId="0" applyNumberFormat="1" applyFont="1" applyFill="1" applyBorder="1" applyAlignment="1">
      <alignment horizontal="center" vertical="top"/>
    </xf>
    <xf numFmtId="168" fontId="1" fillId="0" borderId="4" xfId="0" applyNumberFormat="1" applyFont="1" applyBorder="1" applyAlignment="1">
      <alignment vertical="top" wrapText="1"/>
    </xf>
    <xf numFmtId="0" fontId="5" fillId="5" borderId="12" xfId="0" applyFont="1" applyFill="1" applyBorder="1" applyAlignment="1">
      <alignment horizontal="center" vertical="top"/>
    </xf>
    <xf numFmtId="170" fontId="5" fillId="5" borderId="4" xfId="0" applyNumberFormat="1" applyFont="1" applyFill="1" applyBorder="1" applyAlignment="1">
      <alignment horizontal="center" vertical="top"/>
    </xf>
    <xf numFmtId="170" fontId="5" fillId="5" borderId="4" xfId="0" applyNumberFormat="1" applyFont="1" applyFill="1" applyBorder="1" applyAlignment="1">
      <alignment horizontal="left" vertical="top" wrapText="1"/>
    </xf>
    <xf numFmtId="0" fontId="11" fillId="0" borderId="9" xfId="0" applyFont="1" applyBorder="1" applyAlignment="1">
      <alignment horizontal="center" vertical="top"/>
    </xf>
    <xf numFmtId="0" fontId="1" fillId="0" borderId="9" xfId="0" applyFont="1" applyBorder="1" applyAlignment="1">
      <alignment horizontal="left" vertical="top"/>
    </xf>
    <xf numFmtId="0" fontId="0" fillId="0" borderId="0" xfId="0"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12" Type="http://schemas.openxmlformats.org/officeDocument/2006/relationships/calcChain" Target="calcChain.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CA4"/>
  <sheetViews>
    <sheetView tabSelected="1" topLeftCell="BC1" workbookViewId="0">
      <pane ySplit="1" topLeftCell="A2" activePane="bottomLeft" state="frozen"/>
      <selection pane="bottomLeft" activeCell="BC1" sqref="A1:XFD1"/>
    </sheetView>
  </sheetViews>
  <sheetFormatPr baseColWidth="10" defaultColWidth="11.25" defaultRowHeight="15" customHeight="1" x14ac:dyDescent="0.25"/>
  <cols>
    <col min="1" max="1" width="14" bestFit="1" customWidth="1"/>
    <col min="2" max="2" width="18.125" customWidth="1"/>
    <col min="3" max="3" width="18.25" customWidth="1"/>
    <col min="4" max="4" width="15.25" customWidth="1"/>
    <col min="5" max="5" width="15.125" customWidth="1"/>
    <col min="6" max="6" width="19.25" customWidth="1"/>
    <col min="7" max="7" width="13.25" customWidth="1"/>
    <col min="9" max="9" width="19.125" customWidth="1"/>
    <col min="10" max="10" width="15.875" customWidth="1"/>
    <col min="11" max="11" width="18.875" customWidth="1"/>
    <col min="12" max="12" width="15.25" customWidth="1"/>
    <col min="13" max="13" width="21.25" customWidth="1"/>
    <col min="14" max="14" width="20.125" customWidth="1"/>
    <col min="15" max="15" width="17.125" customWidth="1"/>
    <col min="16" max="16" width="19.75" customWidth="1"/>
    <col min="17" max="17" width="21.125" customWidth="1"/>
    <col min="18" max="18" width="19.25" customWidth="1"/>
    <col min="19" max="19" width="21.375" customWidth="1"/>
    <col min="20" max="20" width="15.875" customWidth="1"/>
    <col min="21" max="21" width="13.75" customWidth="1"/>
    <col min="22" max="22" width="19.25" hidden="1" customWidth="1"/>
    <col min="23" max="23" width="14.75" customWidth="1"/>
    <col min="24" max="24" width="13.25" customWidth="1"/>
    <col min="25" max="25" width="13.75" customWidth="1"/>
    <col min="26" max="26" width="9.125" customWidth="1"/>
    <col min="27" max="27" width="31" customWidth="1"/>
    <col min="28" max="28" width="19" customWidth="1"/>
    <col min="29" max="29" width="20.375" bestFit="1" customWidth="1"/>
    <col min="30" max="30" width="16" bestFit="1" customWidth="1"/>
    <col min="31" max="31" width="7.25" customWidth="1"/>
    <col min="32" max="32" width="6.25" customWidth="1"/>
    <col min="33" max="33" width="15.25" customWidth="1"/>
    <col min="34" max="34" width="26.75" customWidth="1"/>
    <col min="35" max="35" width="19.875" customWidth="1"/>
    <col min="36" max="36" width="6" customWidth="1"/>
    <col min="37" max="37" width="9.75" customWidth="1"/>
    <col min="38" max="38" width="11.125" customWidth="1"/>
    <col min="39" max="39" width="15.25" customWidth="1"/>
    <col min="40" max="40" width="20.125" customWidth="1"/>
    <col min="41" max="41" width="10.75" customWidth="1"/>
    <col min="42" max="42" width="17.25" customWidth="1"/>
    <col min="43" max="43" width="19.25" customWidth="1"/>
    <col min="44" max="44" width="17.75" customWidth="1"/>
    <col min="45" max="45" width="34" customWidth="1"/>
    <col min="46" max="46" width="19.5" customWidth="1"/>
    <col min="47" max="47" width="14.25" customWidth="1"/>
    <col min="48" max="48" width="12.25" customWidth="1"/>
    <col min="49" max="49" width="12.75" customWidth="1"/>
    <col min="50" max="50" width="11.75" customWidth="1"/>
    <col min="51" max="51" width="27.875" customWidth="1"/>
    <col min="52" max="52" width="7.75" customWidth="1"/>
    <col min="53" max="53" width="7.25" customWidth="1"/>
    <col min="54" max="54" width="24.25" customWidth="1"/>
    <col min="55" max="55" width="14.75" bestFit="1" customWidth="1"/>
    <col min="56" max="56" width="14" customWidth="1"/>
    <col min="57" max="57" width="14.25" customWidth="1"/>
    <col min="58" max="59" width="15.25" customWidth="1"/>
    <col min="60" max="60" width="12.625" bestFit="1" customWidth="1"/>
    <col min="61" max="61" width="15.5" customWidth="1"/>
    <col min="62" max="62" width="16.375" customWidth="1"/>
    <col min="63" max="63" width="16.25" customWidth="1"/>
    <col min="64" max="64" width="21.25" customWidth="1"/>
    <col min="65" max="65" width="35.875" customWidth="1"/>
    <col min="66" max="66" width="16.25" customWidth="1"/>
    <col min="67" max="67" width="14.25" customWidth="1"/>
    <col min="68" max="68" width="15.875" customWidth="1"/>
    <col min="69" max="69" width="17.75" customWidth="1"/>
    <col min="70" max="70" width="16.25" customWidth="1"/>
    <col min="71" max="71" width="18.125" customWidth="1"/>
    <col min="72" max="72" width="22" customWidth="1"/>
    <col min="73" max="73" width="30.75" customWidth="1"/>
    <col min="74" max="74" width="23.25" customWidth="1"/>
    <col min="75" max="75" width="12.25" customWidth="1"/>
    <col min="76" max="78" width="10.25" customWidth="1"/>
    <col min="79" max="79" width="25.125" customWidth="1"/>
  </cols>
  <sheetData>
    <row r="1" spans="1:79" ht="75.75" customHeight="1" x14ac:dyDescent="0.25">
      <c r="A1" s="1"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3" t="s">
        <v>20</v>
      </c>
      <c r="V1" s="2" t="s">
        <v>21</v>
      </c>
      <c r="W1" s="4" t="s">
        <v>22</v>
      </c>
      <c r="X1" s="5" t="s">
        <v>23</v>
      </c>
      <c r="Y1" s="2" t="s">
        <v>24</v>
      </c>
      <c r="Z1" s="2" t="s">
        <v>25</v>
      </c>
      <c r="AA1" s="6" t="s">
        <v>26</v>
      </c>
      <c r="AB1" s="7" t="s">
        <v>27</v>
      </c>
      <c r="AC1" s="2" t="s">
        <v>28</v>
      </c>
      <c r="AD1" s="2" t="s">
        <v>29</v>
      </c>
      <c r="AE1" s="2" t="s">
        <v>30</v>
      </c>
      <c r="AF1" s="2" t="s">
        <v>31</v>
      </c>
      <c r="AG1" s="2" t="s">
        <v>32</v>
      </c>
      <c r="AH1" s="2" t="s">
        <v>33</v>
      </c>
      <c r="AI1" s="8" t="s">
        <v>34</v>
      </c>
      <c r="AJ1" s="2" t="s">
        <v>35</v>
      </c>
      <c r="AK1" s="9" t="s">
        <v>36</v>
      </c>
      <c r="AL1" s="10" t="s">
        <v>37</v>
      </c>
      <c r="AM1" s="7" t="s">
        <v>38</v>
      </c>
      <c r="AN1" s="11" t="s">
        <v>39</v>
      </c>
      <c r="AO1" s="2" t="s">
        <v>40</v>
      </c>
      <c r="AP1" s="2" t="s">
        <v>41</v>
      </c>
      <c r="AQ1" s="2" t="s">
        <v>42</v>
      </c>
      <c r="AR1" s="2" t="s">
        <v>43</v>
      </c>
      <c r="AS1" s="12" t="s">
        <v>44</v>
      </c>
      <c r="AT1" s="2" t="s">
        <v>45</v>
      </c>
      <c r="AU1" s="13" t="s">
        <v>46</v>
      </c>
      <c r="AV1" s="14" t="s">
        <v>47</v>
      </c>
      <c r="AW1" s="14" t="s">
        <v>48</v>
      </c>
      <c r="AX1" s="2" t="s">
        <v>49</v>
      </c>
      <c r="AY1" s="15" t="s">
        <v>50</v>
      </c>
      <c r="AZ1" s="2" t="s">
        <v>51</v>
      </c>
      <c r="BA1" s="2" t="s">
        <v>52</v>
      </c>
      <c r="BB1" s="7" t="s">
        <v>53</v>
      </c>
      <c r="BC1" s="16" t="s">
        <v>54</v>
      </c>
      <c r="BD1" s="2" t="s">
        <v>55</v>
      </c>
      <c r="BE1" s="2" t="s">
        <v>56</v>
      </c>
      <c r="BF1" s="6" t="s">
        <v>57</v>
      </c>
      <c r="BG1" s="2" t="s">
        <v>58</v>
      </c>
      <c r="BH1" s="2" t="s">
        <v>59</v>
      </c>
      <c r="BI1" s="7" t="s">
        <v>60</v>
      </c>
      <c r="BJ1" s="7" t="s">
        <v>61</v>
      </c>
      <c r="BK1" s="7" t="s">
        <v>62</v>
      </c>
      <c r="BL1" s="7" t="s">
        <v>63</v>
      </c>
      <c r="BM1" s="17" t="s">
        <v>64</v>
      </c>
      <c r="BN1" s="7" t="s">
        <v>65</v>
      </c>
      <c r="BO1" s="7" t="s">
        <v>66</v>
      </c>
      <c r="BP1" s="7" t="s">
        <v>67</v>
      </c>
      <c r="BQ1" s="7" t="s">
        <v>68</v>
      </c>
      <c r="BR1" s="7" t="s">
        <v>69</v>
      </c>
      <c r="BS1" s="7" t="s">
        <v>70</v>
      </c>
      <c r="BT1" s="7" t="s">
        <v>71</v>
      </c>
      <c r="BU1" s="7" t="s">
        <v>72</v>
      </c>
      <c r="BV1" s="7" t="s">
        <v>73</v>
      </c>
      <c r="BW1" s="7" t="s">
        <v>74</v>
      </c>
      <c r="BX1" s="7" t="s">
        <v>75</v>
      </c>
      <c r="BY1" s="7" t="s">
        <v>76</v>
      </c>
      <c r="BZ1" s="7" t="s">
        <v>77</v>
      </c>
      <c r="CA1" s="18" t="s">
        <v>78</v>
      </c>
    </row>
    <row r="2" spans="1:79" s="86" customFormat="1" ht="409.5" x14ac:dyDescent="0.25">
      <c r="A2" s="19" t="s">
        <v>79</v>
      </c>
      <c r="B2" s="64" t="s">
        <v>110</v>
      </c>
      <c r="C2" s="20" t="s">
        <v>80</v>
      </c>
      <c r="D2" s="20" t="s">
        <v>81</v>
      </c>
      <c r="E2" s="65" t="s">
        <v>82</v>
      </c>
      <c r="F2" s="21" t="s">
        <v>83</v>
      </c>
      <c r="G2" s="22" t="s">
        <v>84</v>
      </c>
      <c r="H2" s="23" t="s">
        <v>85</v>
      </c>
      <c r="I2" s="66" t="s">
        <v>92</v>
      </c>
      <c r="J2" s="67" t="s">
        <v>109</v>
      </c>
      <c r="K2" s="24" t="s">
        <v>111</v>
      </c>
      <c r="L2" s="24" t="s">
        <v>112</v>
      </c>
      <c r="M2" s="68" t="s">
        <v>87</v>
      </c>
      <c r="N2" s="67" t="s">
        <v>86</v>
      </c>
      <c r="O2" s="24" t="s">
        <v>104</v>
      </c>
      <c r="P2" s="24" t="s">
        <v>105</v>
      </c>
      <c r="Q2" s="35" t="s">
        <v>113</v>
      </c>
      <c r="R2" s="39" t="s">
        <v>114</v>
      </c>
      <c r="S2" s="69" t="s">
        <v>88</v>
      </c>
      <c r="T2" s="33"/>
      <c r="U2" s="64">
        <v>3500254256</v>
      </c>
      <c r="V2" s="70">
        <v>46027</v>
      </c>
      <c r="W2" s="71">
        <v>67956000</v>
      </c>
      <c r="X2" s="30" t="s">
        <v>89</v>
      </c>
      <c r="Y2" s="72" t="s">
        <v>115</v>
      </c>
      <c r="Z2" s="64">
        <v>20124</v>
      </c>
      <c r="AA2" s="25" t="s">
        <v>116</v>
      </c>
      <c r="AB2" s="73" t="s">
        <v>117</v>
      </c>
      <c r="AC2" s="20" t="s">
        <v>90</v>
      </c>
      <c r="AD2" s="24" t="s">
        <v>91</v>
      </c>
      <c r="AE2" s="64" t="s">
        <v>88</v>
      </c>
      <c r="AF2" s="64"/>
      <c r="AG2" s="21" t="s">
        <v>103</v>
      </c>
      <c r="AH2" s="34" t="s">
        <v>118</v>
      </c>
      <c r="AI2" s="74" t="s">
        <v>119</v>
      </c>
      <c r="AJ2" s="75">
        <v>0</v>
      </c>
      <c r="AK2" s="76"/>
      <c r="AL2" s="77" t="s">
        <v>93</v>
      </c>
      <c r="AM2" s="26" t="s">
        <v>120</v>
      </c>
      <c r="AN2" s="26" t="s">
        <v>121</v>
      </c>
      <c r="AO2" s="27" t="s">
        <v>94</v>
      </c>
      <c r="AP2" s="27" t="s">
        <v>122</v>
      </c>
      <c r="AQ2" s="32" t="s">
        <v>123</v>
      </c>
      <c r="AR2" s="28" t="s">
        <v>106</v>
      </c>
      <c r="AS2" s="22" t="s">
        <v>124</v>
      </c>
      <c r="AT2" s="20" t="s">
        <v>107</v>
      </c>
      <c r="AU2" s="78">
        <f t="shared" ref="AU2" si="0">BC2*BA2</f>
        <v>33978000</v>
      </c>
      <c r="AV2" s="79"/>
      <c r="AW2" s="79"/>
      <c r="AX2" s="20" t="s">
        <v>95</v>
      </c>
      <c r="AY2" s="29" t="s">
        <v>125</v>
      </c>
      <c r="AZ2" s="64" t="s">
        <v>96</v>
      </c>
      <c r="BA2" s="64">
        <v>6</v>
      </c>
      <c r="BB2" s="20" t="s">
        <v>108</v>
      </c>
      <c r="BC2" s="41">
        <v>5663000</v>
      </c>
      <c r="BD2" s="64"/>
      <c r="BE2" s="65"/>
      <c r="BF2" s="24" t="s">
        <v>111</v>
      </c>
      <c r="BG2" s="20" t="s">
        <v>83</v>
      </c>
      <c r="BH2" s="33">
        <v>29180813</v>
      </c>
      <c r="BI2" s="20" t="s">
        <v>102</v>
      </c>
      <c r="BJ2" s="64" t="s">
        <v>97</v>
      </c>
      <c r="BK2" s="20" t="s">
        <v>98</v>
      </c>
      <c r="BL2" s="20" t="s">
        <v>99</v>
      </c>
      <c r="BM2" s="20" t="s">
        <v>100</v>
      </c>
      <c r="BN2" s="80">
        <v>46025</v>
      </c>
      <c r="BO2" s="81">
        <v>4500396203</v>
      </c>
      <c r="BP2" s="82">
        <v>46029</v>
      </c>
      <c r="BQ2" s="83"/>
      <c r="BR2" s="83"/>
      <c r="BS2" s="83"/>
      <c r="BT2" s="64">
        <v>3016744172</v>
      </c>
      <c r="BU2" s="84" t="s">
        <v>126</v>
      </c>
      <c r="BV2" s="85" t="s">
        <v>127</v>
      </c>
      <c r="BW2" s="69" t="s">
        <v>101</v>
      </c>
      <c r="BX2" s="64">
        <v>21</v>
      </c>
      <c r="BY2" s="64">
        <v>10</v>
      </c>
      <c r="BZ2" s="64">
        <v>1979</v>
      </c>
      <c r="CA2" s="64">
        <f t="shared" ref="CA2" si="1">2024-BZ2</f>
        <v>45</v>
      </c>
    </row>
    <row r="3" spans="1:79" ht="15.75" customHeight="1" x14ac:dyDescent="0.25">
      <c r="A3" s="48"/>
      <c r="B3" s="31"/>
      <c r="C3" s="31"/>
      <c r="D3" s="31"/>
      <c r="E3" s="31"/>
      <c r="F3" s="31"/>
      <c r="G3" s="49"/>
      <c r="H3" s="31"/>
      <c r="I3" s="50"/>
      <c r="J3" s="50"/>
      <c r="K3" s="50"/>
      <c r="L3" s="50"/>
      <c r="M3" s="50"/>
      <c r="N3" s="50"/>
      <c r="O3" s="48"/>
      <c r="P3" s="31"/>
      <c r="Q3" s="50"/>
      <c r="R3" s="38"/>
      <c r="S3" s="31"/>
      <c r="T3" s="31"/>
      <c r="U3" s="38"/>
      <c r="V3" s="37"/>
      <c r="W3" s="51"/>
      <c r="X3" s="52"/>
      <c r="Y3" s="50"/>
      <c r="Z3" s="31"/>
      <c r="AA3" s="53"/>
      <c r="AB3" s="54"/>
      <c r="AC3" s="42"/>
      <c r="AD3" s="49"/>
      <c r="AE3" s="37"/>
      <c r="AF3" s="37"/>
      <c r="AG3" s="43"/>
      <c r="AH3" s="55"/>
      <c r="AI3" s="37"/>
      <c r="AJ3" s="37"/>
      <c r="AK3" s="31"/>
      <c r="AL3" s="45"/>
      <c r="AM3" s="36"/>
      <c r="AN3" s="36"/>
      <c r="AO3" s="31"/>
      <c r="AP3" s="46"/>
      <c r="AQ3" s="47"/>
      <c r="AR3" s="56"/>
      <c r="AS3" s="57"/>
      <c r="AT3" s="58"/>
      <c r="AU3" s="59"/>
      <c r="AV3" s="31"/>
      <c r="AW3" s="31"/>
      <c r="AX3" s="31"/>
      <c r="AY3" s="60"/>
      <c r="AZ3" s="60"/>
      <c r="BA3" s="60"/>
      <c r="BB3" s="61"/>
      <c r="BC3" s="40"/>
      <c r="BD3" s="62"/>
      <c r="BE3" s="31"/>
      <c r="BF3" s="42"/>
      <c r="BG3" s="42"/>
      <c r="BH3" s="37"/>
      <c r="BI3" s="50"/>
      <c r="BJ3" s="37"/>
      <c r="BK3" s="31"/>
      <c r="BL3" s="48"/>
      <c r="BM3" s="63"/>
      <c r="BN3" s="49"/>
      <c r="BO3" s="37"/>
      <c r="BP3" s="42"/>
      <c r="BQ3" s="43"/>
      <c r="BR3" s="43"/>
      <c r="BS3" s="43"/>
      <c r="BT3" s="44"/>
      <c r="BU3" s="37"/>
      <c r="BV3" s="42"/>
      <c r="BW3" s="44"/>
      <c r="BX3" s="44"/>
      <c r="BY3" s="44"/>
      <c r="BZ3" s="44"/>
      <c r="CA3" s="31"/>
    </row>
    <row r="4" spans="1:79" ht="15.75" customHeight="1" x14ac:dyDescent="0.25">
      <c r="A4" s="48"/>
      <c r="B4" s="31"/>
      <c r="C4" s="31"/>
      <c r="D4" s="31"/>
      <c r="E4" s="31"/>
      <c r="F4" s="31"/>
      <c r="G4" s="49"/>
      <c r="H4" s="31"/>
      <c r="I4" s="50"/>
      <c r="J4" s="50"/>
      <c r="K4" s="50"/>
      <c r="L4" s="50"/>
      <c r="M4" s="50"/>
      <c r="N4" s="50"/>
      <c r="O4" s="48"/>
      <c r="P4" s="31"/>
      <c r="Q4" s="50"/>
      <c r="R4" s="38"/>
      <c r="S4" s="31"/>
      <c r="T4" s="31"/>
      <c r="U4" s="38"/>
      <c r="V4" s="37"/>
      <c r="W4" s="51"/>
      <c r="X4" s="52"/>
      <c r="Y4" s="50"/>
      <c r="Z4" s="31"/>
      <c r="AA4" s="53"/>
      <c r="AB4" s="54"/>
      <c r="AC4" s="42"/>
      <c r="AD4" s="49"/>
      <c r="AE4" s="37"/>
      <c r="AF4" s="37"/>
      <c r="AG4" s="43"/>
      <c r="AH4" s="55"/>
      <c r="AI4" s="37"/>
      <c r="AJ4" s="37"/>
      <c r="AK4" s="31"/>
      <c r="AL4" s="45"/>
      <c r="AM4" s="36"/>
      <c r="AN4" s="36"/>
      <c r="AO4" s="31"/>
      <c r="AP4" s="46"/>
      <c r="AQ4" s="47"/>
      <c r="AR4" s="56"/>
      <c r="AS4" s="57"/>
      <c r="AT4" s="58"/>
      <c r="AU4" s="59"/>
      <c r="AV4" s="31"/>
      <c r="AW4" s="31"/>
      <c r="AX4" s="31"/>
      <c r="AY4" s="60"/>
      <c r="AZ4" s="60"/>
      <c r="BA4" s="60"/>
      <c r="BB4" s="61"/>
      <c r="BC4" s="40"/>
      <c r="BD4" s="62"/>
      <c r="BE4" s="31"/>
      <c r="BF4" s="42"/>
      <c r="BG4" s="42"/>
      <c r="BH4" s="37"/>
      <c r="BI4" s="50"/>
      <c r="BJ4" s="37"/>
      <c r="BK4" s="31"/>
      <c r="BL4" s="48"/>
      <c r="BM4" s="63"/>
      <c r="BN4" s="49"/>
      <c r="BO4" s="37"/>
      <c r="BP4" s="42"/>
      <c r="BQ4" s="43"/>
      <c r="BR4" s="43"/>
      <c r="BS4" s="43"/>
      <c r="BT4" s="44"/>
      <c r="BU4" s="37"/>
      <c r="BV4" s="42"/>
      <c r="BW4" s="44"/>
      <c r="BX4" s="44"/>
      <c r="BY4" s="44"/>
      <c r="BZ4" s="44"/>
      <c r="CA4" s="31"/>
    </row>
  </sheetData>
  <autoFilter ref="A1:CA2" xr:uid="{00000000-0009-0000-0000-000000000000}"/>
  <pageMargins left="0.7" right="0.7" top="0.75" bottom="0.75" header="0" footer="0"/>
  <pageSetup fitToHeight="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ENERO 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CRUZ</dc:creator>
  <cp:lastModifiedBy>Soporte y Desarrollo</cp:lastModifiedBy>
  <dcterms:created xsi:type="dcterms:W3CDTF">2021-06-17T03:32:43Z</dcterms:created>
  <dcterms:modified xsi:type="dcterms:W3CDTF">2026-01-19T01:41:32Z</dcterms:modified>
</cp:coreProperties>
</file>